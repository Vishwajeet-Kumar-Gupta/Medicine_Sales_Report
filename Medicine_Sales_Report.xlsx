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10.xml" ContentType="application/vnd.ms-office.chartcolorstyle+xml"/>
  <Override PartName="/xl/charts/style10.xml" ContentType="application/vnd.ms-office.chartstyle+xml"/>
  <Override PartName="/xl/charts/colors20.xml" ContentType="application/vnd.ms-office.chartcolorstyle+xml"/>
  <Override PartName="/xl/charts/style2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Carrer27x7\Excel\"/>
    </mc:Choice>
  </mc:AlternateContent>
  <bookViews>
    <workbookView xWindow="240" yWindow="345" windowWidth="19815" windowHeight="7665"/>
  </bookViews>
  <sheets>
    <sheet name="Data" sheetId="1" r:id="rId1"/>
    <sheet name="Pivot Tables" sheetId="5" r:id="rId2"/>
    <sheet name="Dashboard" sheetId="2" r:id="rId3"/>
  </sheets>
  <definedNames>
    <definedName name="_xlchart.v1.0" hidden="1">'Pivot Tables'!$H$6:$H$9</definedName>
    <definedName name="_xlchart.v1.1" hidden="1">'Pivot Tables'!$I$6:$I$9</definedName>
    <definedName name="Slicer_Country">#N/A</definedName>
    <definedName name="Slicer_Medicine_nam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85" i="1" l="1"/>
  <c r="I9" i="5" l="1"/>
  <c r="H9" i="5"/>
  <c r="I8" i="5"/>
  <c r="H8" i="5"/>
  <c r="I7" i="5"/>
  <c r="H7" i="5"/>
  <c r="I6" i="5"/>
  <c r="H6" i="5"/>
  <c r="H478" i="1"/>
  <c r="I478" i="1" s="1"/>
  <c r="H477" i="1"/>
  <c r="I477" i="1" s="1"/>
  <c r="H476" i="1"/>
  <c r="I476" i="1" s="1"/>
  <c r="H475" i="1"/>
  <c r="I475" i="1" s="1"/>
  <c r="H474" i="1"/>
  <c r="I474" i="1" s="1"/>
  <c r="H473" i="1"/>
  <c r="I473" i="1" s="1"/>
  <c r="H472" i="1"/>
  <c r="I472" i="1" s="1"/>
  <c r="H471" i="1"/>
  <c r="I471" i="1" s="1"/>
  <c r="H470" i="1"/>
  <c r="I470" i="1" s="1"/>
  <c r="H469" i="1"/>
  <c r="I469" i="1" s="1"/>
  <c r="H468" i="1"/>
  <c r="I468" i="1" s="1"/>
  <c r="H467" i="1"/>
  <c r="I467" i="1" s="1"/>
  <c r="H466" i="1"/>
  <c r="I466" i="1" s="1"/>
  <c r="H465" i="1"/>
  <c r="I465" i="1" s="1"/>
  <c r="H464" i="1"/>
  <c r="I464" i="1" s="1"/>
  <c r="H463" i="1"/>
  <c r="I463" i="1" s="1"/>
  <c r="H462" i="1"/>
  <c r="I462" i="1" s="1"/>
  <c r="H461" i="1"/>
  <c r="I461" i="1" s="1"/>
  <c r="H460" i="1"/>
  <c r="I460" i="1" s="1"/>
  <c r="H459" i="1"/>
  <c r="I459" i="1" s="1"/>
  <c r="H458" i="1"/>
  <c r="I458" i="1" s="1"/>
  <c r="H457" i="1"/>
  <c r="I457" i="1" s="1"/>
  <c r="H456" i="1"/>
  <c r="I456" i="1" s="1"/>
  <c r="H455" i="1"/>
  <c r="I455" i="1" s="1"/>
  <c r="H454" i="1"/>
  <c r="I454" i="1" s="1"/>
  <c r="H453" i="1"/>
  <c r="I453" i="1" s="1"/>
  <c r="H452" i="1"/>
  <c r="I452" i="1" s="1"/>
  <c r="H451" i="1"/>
  <c r="I451" i="1" s="1"/>
  <c r="H450" i="1"/>
  <c r="I450" i="1" s="1"/>
  <c r="H449" i="1"/>
  <c r="I449" i="1" s="1"/>
  <c r="I448" i="1"/>
  <c r="H448" i="1"/>
  <c r="H447" i="1"/>
  <c r="I447" i="1" s="1"/>
  <c r="H446" i="1"/>
  <c r="I446" i="1" s="1"/>
  <c r="H445" i="1"/>
  <c r="I445" i="1" s="1"/>
  <c r="H444" i="1"/>
  <c r="I444" i="1" s="1"/>
  <c r="H443" i="1"/>
  <c r="I443" i="1" s="1"/>
  <c r="H442" i="1"/>
  <c r="I442" i="1" s="1"/>
  <c r="H441" i="1"/>
  <c r="I441" i="1" s="1"/>
  <c r="H440" i="1"/>
  <c r="I440" i="1" s="1"/>
  <c r="H439" i="1"/>
  <c r="I439" i="1" s="1"/>
  <c r="I438" i="1"/>
  <c r="H438" i="1"/>
  <c r="H437" i="1"/>
  <c r="I437" i="1" s="1"/>
  <c r="H436" i="1"/>
  <c r="I436" i="1" s="1"/>
  <c r="H435" i="1"/>
  <c r="I435" i="1" s="1"/>
  <c r="H434" i="1"/>
  <c r="I434" i="1" s="1"/>
  <c r="H433" i="1"/>
  <c r="I433" i="1" s="1"/>
  <c r="I432" i="1"/>
  <c r="H432" i="1"/>
  <c r="H431" i="1"/>
  <c r="I431" i="1" s="1"/>
  <c r="H430" i="1"/>
  <c r="I430" i="1" s="1"/>
  <c r="H429" i="1"/>
  <c r="I429" i="1" s="1"/>
  <c r="H428" i="1"/>
  <c r="I428" i="1" s="1"/>
  <c r="H427" i="1"/>
  <c r="I427" i="1" s="1"/>
  <c r="H426" i="1"/>
  <c r="I426" i="1" s="1"/>
  <c r="H425" i="1"/>
  <c r="I425" i="1" s="1"/>
  <c r="H424" i="1"/>
  <c r="I424" i="1" s="1"/>
  <c r="H423" i="1"/>
  <c r="I423" i="1" s="1"/>
  <c r="I422" i="1"/>
  <c r="H422" i="1"/>
  <c r="H421" i="1"/>
  <c r="I421" i="1" s="1"/>
  <c r="H420" i="1"/>
  <c r="I420" i="1" s="1"/>
  <c r="H419" i="1"/>
  <c r="I419" i="1" s="1"/>
  <c r="H418" i="1"/>
  <c r="I418" i="1" s="1"/>
  <c r="H417" i="1"/>
  <c r="I417" i="1" s="1"/>
  <c r="I416" i="1"/>
  <c r="H416" i="1"/>
  <c r="H415" i="1"/>
  <c r="I415" i="1" s="1"/>
  <c r="H414" i="1"/>
  <c r="I414" i="1" s="1"/>
  <c r="H413" i="1"/>
  <c r="I413" i="1" s="1"/>
  <c r="H412" i="1"/>
  <c r="I412" i="1" s="1"/>
  <c r="H411" i="1"/>
  <c r="I411" i="1" s="1"/>
  <c r="H410" i="1"/>
  <c r="I410" i="1" s="1"/>
  <c r="H409" i="1"/>
  <c r="I409" i="1" s="1"/>
  <c r="H408" i="1"/>
  <c r="I408" i="1" s="1"/>
  <c r="H407" i="1"/>
  <c r="I407" i="1" s="1"/>
  <c r="I406" i="1"/>
  <c r="H406" i="1"/>
  <c r="H405" i="1"/>
  <c r="I405" i="1" s="1"/>
  <c r="H404" i="1"/>
  <c r="I404" i="1" s="1"/>
  <c r="H403" i="1"/>
  <c r="I403" i="1" s="1"/>
  <c r="H402" i="1"/>
  <c r="I402" i="1" s="1"/>
  <c r="H401" i="1"/>
  <c r="I401" i="1" s="1"/>
  <c r="I400" i="1"/>
  <c r="H400" i="1"/>
  <c r="H399" i="1"/>
  <c r="I399" i="1" s="1"/>
  <c r="H398" i="1"/>
  <c r="I398" i="1" s="1"/>
  <c r="H397" i="1"/>
  <c r="I397" i="1" s="1"/>
  <c r="H396" i="1"/>
  <c r="I396" i="1" s="1"/>
  <c r="H395" i="1"/>
  <c r="I395" i="1" s="1"/>
  <c r="H394" i="1"/>
  <c r="I394" i="1" s="1"/>
  <c r="H393" i="1"/>
  <c r="I393" i="1" s="1"/>
  <c r="H392" i="1"/>
  <c r="I392" i="1" s="1"/>
  <c r="H391" i="1"/>
  <c r="I391" i="1" s="1"/>
  <c r="I390" i="1"/>
  <c r="H390" i="1"/>
  <c r="H389" i="1"/>
  <c r="I389" i="1" s="1"/>
  <c r="H388" i="1"/>
  <c r="I388" i="1" s="1"/>
  <c r="H387" i="1"/>
  <c r="I387" i="1" s="1"/>
  <c r="H386" i="1"/>
  <c r="I386" i="1" s="1"/>
  <c r="H385" i="1"/>
  <c r="I385" i="1" s="1"/>
  <c r="I384" i="1"/>
  <c r="H384" i="1"/>
  <c r="H383" i="1"/>
  <c r="I383" i="1" s="1"/>
  <c r="H382" i="1"/>
  <c r="I382" i="1" s="1"/>
  <c r="H381" i="1"/>
  <c r="I381" i="1" s="1"/>
  <c r="H380" i="1"/>
  <c r="I380" i="1" s="1"/>
  <c r="H379" i="1"/>
  <c r="I379" i="1" s="1"/>
  <c r="H378" i="1"/>
  <c r="I378" i="1" s="1"/>
  <c r="H377" i="1"/>
  <c r="I377" i="1" s="1"/>
  <c r="H376" i="1"/>
  <c r="I376" i="1" s="1"/>
  <c r="H375" i="1"/>
  <c r="I375" i="1" s="1"/>
  <c r="I374" i="1"/>
  <c r="H374" i="1"/>
  <c r="H373" i="1"/>
  <c r="I373" i="1" s="1"/>
  <c r="H372" i="1"/>
  <c r="I372" i="1" s="1"/>
  <c r="H371" i="1"/>
  <c r="I371" i="1" s="1"/>
  <c r="H370" i="1"/>
  <c r="I370" i="1" s="1"/>
  <c r="H369" i="1"/>
  <c r="I369" i="1" s="1"/>
  <c r="I368" i="1"/>
  <c r="H368" i="1"/>
  <c r="H367" i="1"/>
  <c r="I367" i="1" s="1"/>
  <c r="H366" i="1"/>
  <c r="I366" i="1" s="1"/>
  <c r="H365" i="1"/>
  <c r="I365" i="1" s="1"/>
  <c r="H364" i="1"/>
  <c r="I364" i="1" s="1"/>
  <c r="H363" i="1"/>
  <c r="I363" i="1" s="1"/>
  <c r="H362" i="1"/>
  <c r="I362" i="1" s="1"/>
  <c r="H361" i="1"/>
  <c r="I361" i="1" s="1"/>
  <c r="H360" i="1"/>
  <c r="I360" i="1" s="1"/>
  <c r="H359" i="1"/>
  <c r="I359" i="1" s="1"/>
  <c r="I358" i="1"/>
  <c r="H358" i="1"/>
  <c r="H357" i="1"/>
  <c r="I357" i="1" s="1"/>
  <c r="H356" i="1"/>
  <c r="I356" i="1" s="1"/>
  <c r="H355" i="1"/>
  <c r="I355" i="1" s="1"/>
  <c r="H354" i="1"/>
  <c r="I354" i="1" s="1"/>
  <c r="H353" i="1"/>
  <c r="I353" i="1" s="1"/>
  <c r="I352" i="1"/>
  <c r="H352" i="1"/>
  <c r="H351" i="1"/>
  <c r="I351" i="1" s="1"/>
  <c r="H350" i="1"/>
  <c r="I350" i="1" s="1"/>
  <c r="H349" i="1"/>
  <c r="I349" i="1" s="1"/>
  <c r="H348" i="1"/>
  <c r="I348" i="1" s="1"/>
  <c r="H347" i="1"/>
  <c r="I347" i="1" s="1"/>
  <c r="H346" i="1"/>
  <c r="I346" i="1" s="1"/>
  <c r="H345" i="1"/>
  <c r="I345" i="1" s="1"/>
  <c r="H344" i="1"/>
  <c r="I344" i="1" s="1"/>
  <c r="H343" i="1"/>
  <c r="I343" i="1" s="1"/>
  <c r="I342" i="1"/>
  <c r="H342" i="1"/>
  <c r="H341" i="1"/>
  <c r="I341" i="1" s="1"/>
  <c r="H340" i="1"/>
  <c r="I340" i="1" s="1"/>
  <c r="H339" i="1"/>
  <c r="I339" i="1" s="1"/>
  <c r="H338" i="1"/>
  <c r="I338" i="1" s="1"/>
  <c r="H337" i="1"/>
  <c r="I337" i="1" s="1"/>
  <c r="I336" i="1"/>
  <c r="H336" i="1"/>
  <c r="H335" i="1"/>
  <c r="I335" i="1" s="1"/>
  <c r="H334" i="1"/>
  <c r="I334" i="1" s="1"/>
  <c r="H333" i="1"/>
  <c r="I333" i="1" s="1"/>
  <c r="H332" i="1"/>
  <c r="I332" i="1" s="1"/>
  <c r="H331" i="1"/>
  <c r="I331" i="1" s="1"/>
  <c r="H330" i="1"/>
  <c r="I330" i="1" s="1"/>
  <c r="H329" i="1"/>
  <c r="I329" i="1" s="1"/>
  <c r="I328" i="1"/>
  <c r="H328" i="1"/>
  <c r="H327" i="1"/>
  <c r="I327" i="1" s="1"/>
  <c r="H326" i="1"/>
  <c r="I326" i="1" s="1"/>
  <c r="H325" i="1"/>
  <c r="I325" i="1" s="1"/>
  <c r="H324" i="1"/>
  <c r="I324" i="1" s="1"/>
  <c r="H323" i="1"/>
  <c r="I323" i="1" s="1"/>
  <c r="H322" i="1"/>
  <c r="I322" i="1" s="1"/>
  <c r="H321" i="1"/>
  <c r="I321" i="1" s="1"/>
  <c r="H320" i="1"/>
  <c r="I320" i="1" s="1"/>
  <c r="H319" i="1"/>
  <c r="I319" i="1" s="1"/>
  <c r="H318" i="1"/>
  <c r="I318" i="1" s="1"/>
  <c r="H317" i="1"/>
  <c r="I317" i="1" s="1"/>
  <c r="H316" i="1"/>
  <c r="I316" i="1" s="1"/>
  <c r="H315" i="1"/>
  <c r="I315" i="1" s="1"/>
  <c r="H314" i="1"/>
  <c r="I314" i="1" s="1"/>
  <c r="H313" i="1"/>
  <c r="I313" i="1" s="1"/>
  <c r="H312" i="1"/>
  <c r="I312" i="1" s="1"/>
  <c r="H311" i="1"/>
  <c r="I311" i="1" s="1"/>
  <c r="H310" i="1"/>
  <c r="I310" i="1" s="1"/>
  <c r="H309" i="1"/>
  <c r="I309" i="1" s="1"/>
  <c r="H308" i="1"/>
  <c r="I308" i="1" s="1"/>
  <c r="I307" i="1"/>
  <c r="H307" i="1"/>
  <c r="H306" i="1"/>
  <c r="I306" i="1" s="1"/>
  <c r="I305" i="1"/>
  <c r="H305" i="1"/>
  <c r="H304" i="1"/>
  <c r="I304" i="1" s="1"/>
  <c r="H303" i="1"/>
  <c r="I303" i="1" s="1"/>
  <c r="H302" i="1"/>
  <c r="I302" i="1" s="1"/>
  <c r="H301" i="1"/>
  <c r="I301" i="1" s="1"/>
  <c r="H300" i="1"/>
  <c r="I300" i="1" s="1"/>
  <c r="I299" i="1"/>
  <c r="H299" i="1"/>
  <c r="H298" i="1"/>
  <c r="I298" i="1" s="1"/>
  <c r="I297" i="1"/>
  <c r="H297" i="1"/>
  <c r="H296" i="1"/>
  <c r="I296" i="1" s="1"/>
  <c r="H295" i="1"/>
  <c r="I295" i="1" s="1"/>
  <c r="H294" i="1"/>
  <c r="I294" i="1" s="1"/>
  <c r="H293" i="1"/>
  <c r="I293" i="1" s="1"/>
  <c r="H292" i="1"/>
  <c r="I292" i="1" s="1"/>
  <c r="I291" i="1"/>
  <c r="H291" i="1"/>
  <c r="H290" i="1"/>
  <c r="I290" i="1" s="1"/>
  <c r="I289" i="1"/>
  <c r="H289" i="1"/>
  <c r="H288" i="1"/>
  <c r="I288" i="1" s="1"/>
  <c r="H287" i="1"/>
  <c r="I287" i="1" s="1"/>
  <c r="H286" i="1"/>
  <c r="I286" i="1" s="1"/>
  <c r="H285" i="1"/>
  <c r="I285" i="1" s="1"/>
  <c r="H284" i="1"/>
  <c r="I284" i="1" s="1"/>
  <c r="H283" i="1"/>
  <c r="I283" i="1" s="1"/>
  <c r="H282" i="1"/>
  <c r="I282" i="1" s="1"/>
  <c r="H281" i="1"/>
  <c r="I281" i="1" s="1"/>
  <c r="H280" i="1"/>
  <c r="I280" i="1" s="1"/>
  <c r="H279" i="1"/>
  <c r="I279" i="1" s="1"/>
  <c r="H278" i="1"/>
  <c r="I278" i="1" s="1"/>
  <c r="H277" i="1"/>
  <c r="I277" i="1" s="1"/>
  <c r="H276" i="1"/>
  <c r="I276" i="1" s="1"/>
  <c r="H275" i="1"/>
  <c r="I275" i="1" s="1"/>
  <c r="H274" i="1"/>
  <c r="I274" i="1" s="1"/>
  <c r="H273" i="1"/>
  <c r="I273" i="1" s="1"/>
  <c r="H272" i="1"/>
  <c r="I272" i="1" s="1"/>
  <c r="H271" i="1"/>
  <c r="I271" i="1" s="1"/>
  <c r="H270" i="1"/>
  <c r="I270" i="1" s="1"/>
  <c r="I269" i="1"/>
  <c r="H269" i="1"/>
  <c r="H268" i="1"/>
  <c r="I268" i="1" s="1"/>
  <c r="H267" i="1"/>
  <c r="I267" i="1" s="1"/>
  <c r="H266" i="1"/>
  <c r="I266" i="1" s="1"/>
  <c r="H265" i="1"/>
  <c r="I265" i="1" s="1"/>
  <c r="H264" i="1"/>
  <c r="I264" i="1" s="1"/>
  <c r="H263" i="1"/>
  <c r="I263" i="1" s="1"/>
  <c r="H262" i="1"/>
  <c r="I262" i="1" s="1"/>
  <c r="H261" i="1"/>
  <c r="I261" i="1" s="1"/>
  <c r="H260" i="1"/>
  <c r="I260" i="1" s="1"/>
  <c r="H259" i="1"/>
  <c r="I259" i="1" s="1"/>
  <c r="H258" i="1"/>
  <c r="I258" i="1" s="1"/>
  <c r="H257" i="1"/>
  <c r="I257" i="1" s="1"/>
  <c r="H256" i="1"/>
  <c r="I256" i="1" s="1"/>
  <c r="I255" i="1"/>
  <c r="H255" i="1"/>
  <c r="H254" i="1"/>
  <c r="I254" i="1" s="1"/>
  <c r="I253" i="1"/>
  <c r="H253" i="1"/>
  <c r="H252" i="1"/>
  <c r="I252" i="1" s="1"/>
  <c r="H251" i="1"/>
  <c r="I251" i="1" s="1"/>
  <c r="H250" i="1"/>
  <c r="I250" i="1" s="1"/>
  <c r="H249" i="1"/>
  <c r="I249" i="1" s="1"/>
  <c r="H248" i="1"/>
  <c r="I248" i="1" s="1"/>
  <c r="H247" i="1"/>
  <c r="I247" i="1" s="1"/>
  <c r="H246" i="1"/>
  <c r="I246" i="1" s="1"/>
  <c r="H245" i="1"/>
  <c r="I245" i="1" s="1"/>
  <c r="H244" i="1"/>
  <c r="I244" i="1" s="1"/>
  <c r="H243" i="1"/>
  <c r="I243" i="1" s="1"/>
  <c r="H242" i="1"/>
  <c r="I242" i="1" s="1"/>
  <c r="H241" i="1"/>
  <c r="I241" i="1" s="1"/>
  <c r="H240" i="1"/>
  <c r="I240" i="1" s="1"/>
  <c r="I239" i="1"/>
  <c r="H239" i="1"/>
  <c r="H238" i="1"/>
  <c r="I238" i="1" s="1"/>
  <c r="I237" i="1"/>
  <c r="H237" i="1"/>
  <c r="H236" i="1"/>
  <c r="I236" i="1" s="1"/>
  <c r="H235" i="1"/>
  <c r="I235" i="1" s="1"/>
  <c r="H234" i="1"/>
  <c r="I234" i="1" s="1"/>
  <c r="H233" i="1"/>
  <c r="I233" i="1" s="1"/>
  <c r="H232" i="1"/>
  <c r="I232" i="1" s="1"/>
  <c r="H231" i="1"/>
  <c r="I231" i="1" s="1"/>
  <c r="H230" i="1"/>
  <c r="I230" i="1" s="1"/>
  <c r="H229" i="1"/>
  <c r="I229" i="1" s="1"/>
  <c r="H228" i="1"/>
  <c r="I228" i="1" s="1"/>
  <c r="H227" i="1"/>
  <c r="I227" i="1" s="1"/>
  <c r="H226" i="1"/>
  <c r="I226" i="1" s="1"/>
  <c r="H225" i="1"/>
  <c r="I225" i="1" s="1"/>
  <c r="H224" i="1"/>
  <c r="I224" i="1" s="1"/>
  <c r="I223" i="1"/>
  <c r="H223" i="1"/>
  <c r="H222" i="1"/>
  <c r="I222" i="1" s="1"/>
  <c r="I221" i="1"/>
  <c r="H221" i="1"/>
  <c r="H220" i="1"/>
  <c r="I220" i="1" s="1"/>
  <c r="H219" i="1"/>
  <c r="I219" i="1" s="1"/>
  <c r="H218" i="1"/>
  <c r="I218" i="1" s="1"/>
  <c r="H217" i="1"/>
  <c r="I217" i="1" s="1"/>
  <c r="H216" i="1"/>
  <c r="I216" i="1" s="1"/>
  <c r="H215" i="1"/>
  <c r="I215" i="1" s="1"/>
  <c r="H214" i="1"/>
  <c r="I214" i="1" s="1"/>
  <c r="H213" i="1"/>
  <c r="I213" i="1" s="1"/>
  <c r="H212" i="1"/>
  <c r="I212" i="1" s="1"/>
  <c r="H211" i="1"/>
  <c r="I211" i="1" s="1"/>
  <c r="H210" i="1"/>
  <c r="I210" i="1" s="1"/>
  <c r="H209" i="1"/>
  <c r="I209" i="1" s="1"/>
  <c r="H208" i="1"/>
  <c r="I208" i="1" s="1"/>
  <c r="I207" i="1"/>
  <c r="H207" i="1"/>
  <c r="H206" i="1"/>
  <c r="I206" i="1" s="1"/>
  <c r="I205" i="1"/>
  <c r="H205" i="1"/>
  <c r="H204" i="1"/>
  <c r="I204" i="1" s="1"/>
  <c r="H203" i="1"/>
  <c r="I203" i="1" s="1"/>
  <c r="H202" i="1"/>
  <c r="I202" i="1" s="1"/>
  <c r="H201" i="1"/>
  <c r="I201" i="1" s="1"/>
  <c r="H200" i="1"/>
  <c r="I200" i="1" s="1"/>
  <c r="H199" i="1"/>
  <c r="I199" i="1" s="1"/>
  <c r="H198" i="1"/>
  <c r="I198" i="1" s="1"/>
  <c r="H197" i="1"/>
  <c r="I197" i="1" s="1"/>
  <c r="H196" i="1"/>
  <c r="I196" i="1" s="1"/>
  <c r="H195" i="1"/>
  <c r="I195" i="1" s="1"/>
  <c r="H194" i="1"/>
  <c r="I194" i="1" s="1"/>
  <c r="H193" i="1"/>
  <c r="I193" i="1" s="1"/>
  <c r="H192" i="1"/>
  <c r="I192" i="1" s="1"/>
  <c r="I191" i="1"/>
  <c r="H191" i="1"/>
  <c r="H190" i="1"/>
  <c r="I190" i="1" s="1"/>
  <c r="I189" i="1"/>
  <c r="H189" i="1"/>
  <c r="H188" i="1"/>
  <c r="I188" i="1" s="1"/>
  <c r="H187" i="1"/>
  <c r="I187" i="1" s="1"/>
  <c r="H186" i="1"/>
  <c r="I186" i="1" s="1"/>
  <c r="H185" i="1"/>
  <c r="I185" i="1" s="1"/>
  <c r="H184" i="1"/>
  <c r="I184" i="1" s="1"/>
  <c r="H183" i="1"/>
  <c r="I183" i="1" s="1"/>
  <c r="H182" i="1"/>
  <c r="I182" i="1" s="1"/>
  <c r="H181" i="1"/>
  <c r="I181" i="1" s="1"/>
  <c r="H180" i="1"/>
  <c r="I180" i="1" s="1"/>
  <c r="H179" i="1"/>
  <c r="I179" i="1" s="1"/>
  <c r="H178" i="1"/>
  <c r="I178" i="1" s="1"/>
  <c r="H177" i="1"/>
  <c r="I177" i="1" s="1"/>
  <c r="H176" i="1"/>
  <c r="I176" i="1" s="1"/>
  <c r="H175" i="1"/>
  <c r="I175" i="1" s="1"/>
  <c r="H174" i="1"/>
  <c r="I174" i="1" s="1"/>
  <c r="H173" i="1"/>
  <c r="I173" i="1" s="1"/>
  <c r="H172" i="1"/>
  <c r="I172" i="1" s="1"/>
  <c r="H171" i="1"/>
  <c r="I171" i="1" s="1"/>
  <c r="H170" i="1"/>
  <c r="I170" i="1" s="1"/>
  <c r="H169" i="1"/>
  <c r="I169" i="1" s="1"/>
  <c r="H168" i="1"/>
  <c r="I168" i="1" s="1"/>
  <c r="H167" i="1"/>
  <c r="I167" i="1" s="1"/>
  <c r="H166" i="1"/>
  <c r="I166" i="1" s="1"/>
  <c r="H165" i="1"/>
  <c r="I165" i="1" s="1"/>
  <c r="H164" i="1"/>
  <c r="I164" i="1" s="1"/>
  <c r="H163" i="1"/>
  <c r="I163" i="1" s="1"/>
  <c r="H162" i="1"/>
  <c r="I162" i="1" s="1"/>
  <c r="H161" i="1"/>
  <c r="I161" i="1" s="1"/>
  <c r="H160" i="1"/>
  <c r="I160" i="1" s="1"/>
  <c r="H159" i="1"/>
  <c r="I159" i="1" s="1"/>
  <c r="H158" i="1"/>
  <c r="I158" i="1" s="1"/>
  <c r="H157" i="1"/>
  <c r="I157" i="1" s="1"/>
  <c r="H156" i="1"/>
  <c r="I156" i="1" s="1"/>
  <c r="H155" i="1"/>
  <c r="I155" i="1" s="1"/>
  <c r="H154" i="1"/>
  <c r="I154" i="1" s="1"/>
  <c r="H153" i="1"/>
  <c r="I153" i="1" s="1"/>
  <c r="H152" i="1"/>
  <c r="I152" i="1" s="1"/>
  <c r="H151" i="1"/>
  <c r="I151" i="1" s="1"/>
  <c r="H150" i="1"/>
  <c r="I150" i="1" s="1"/>
  <c r="H149" i="1"/>
  <c r="I149" i="1" s="1"/>
  <c r="H148" i="1"/>
  <c r="I148" i="1" s="1"/>
  <c r="H147" i="1"/>
  <c r="I147" i="1" s="1"/>
  <c r="H146" i="1"/>
  <c r="I146" i="1" s="1"/>
  <c r="H145" i="1"/>
  <c r="I145" i="1" s="1"/>
  <c r="H144" i="1"/>
  <c r="I144" i="1" s="1"/>
  <c r="H143" i="1"/>
  <c r="I143" i="1" s="1"/>
  <c r="H142" i="1"/>
  <c r="I142" i="1" s="1"/>
  <c r="H141" i="1"/>
  <c r="I141" i="1" s="1"/>
  <c r="H140" i="1"/>
  <c r="I140" i="1" s="1"/>
  <c r="H139" i="1"/>
  <c r="I139" i="1" s="1"/>
  <c r="H138" i="1"/>
  <c r="I138" i="1" s="1"/>
  <c r="H137" i="1"/>
  <c r="I137" i="1" s="1"/>
  <c r="H136" i="1"/>
  <c r="I136" i="1" s="1"/>
  <c r="H135" i="1"/>
  <c r="I135" i="1" s="1"/>
  <c r="H134" i="1"/>
  <c r="I134" i="1" s="1"/>
  <c r="H133" i="1"/>
  <c r="I133" i="1" s="1"/>
  <c r="H132" i="1"/>
  <c r="I132" i="1" s="1"/>
  <c r="H131" i="1"/>
  <c r="I131" i="1" s="1"/>
  <c r="H130" i="1"/>
  <c r="I130" i="1" s="1"/>
  <c r="H129" i="1"/>
  <c r="I129" i="1" s="1"/>
  <c r="H128" i="1"/>
  <c r="I128" i="1" s="1"/>
  <c r="H127" i="1"/>
  <c r="I127" i="1" s="1"/>
  <c r="H126" i="1"/>
  <c r="I126" i="1" s="1"/>
  <c r="H125" i="1"/>
  <c r="I125" i="1" s="1"/>
  <c r="H124" i="1"/>
  <c r="I124" i="1" s="1"/>
  <c r="H123" i="1"/>
  <c r="I123" i="1" s="1"/>
  <c r="H122" i="1"/>
  <c r="I122" i="1" s="1"/>
  <c r="H121" i="1"/>
  <c r="I121" i="1" s="1"/>
  <c r="H120" i="1"/>
  <c r="I120" i="1" s="1"/>
  <c r="H119" i="1"/>
  <c r="I119" i="1" s="1"/>
  <c r="H118" i="1"/>
  <c r="I118" i="1" s="1"/>
  <c r="H117" i="1"/>
  <c r="I117" i="1" s="1"/>
  <c r="H116" i="1"/>
  <c r="I116" i="1" s="1"/>
  <c r="H115" i="1"/>
  <c r="I115" i="1" s="1"/>
  <c r="H114" i="1"/>
  <c r="I114" i="1" s="1"/>
  <c r="H113" i="1"/>
  <c r="I113" i="1" s="1"/>
  <c r="H112" i="1"/>
  <c r="I112" i="1" s="1"/>
  <c r="H111" i="1"/>
  <c r="I111" i="1" s="1"/>
  <c r="H110" i="1"/>
  <c r="I110" i="1" s="1"/>
  <c r="H109" i="1"/>
  <c r="I109" i="1" s="1"/>
  <c r="H108" i="1"/>
  <c r="I108" i="1" s="1"/>
  <c r="H107" i="1"/>
  <c r="I107" i="1" s="1"/>
  <c r="H106" i="1"/>
  <c r="I106" i="1" s="1"/>
  <c r="H105" i="1"/>
  <c r="I105" i="1" s="1"/>
  <c r="H104" i="1"/>
  <c r="I104" i="1" s="1"/>
  <c r="H103" i="1"/>
  <c r="I103" i="1" s="1"/>
  <c r="H102" i="1"/>
  <c r="I102" i="1" s="1"/>
  <c r="H101" i="1"/>
  <c r="I101" i="1" s="1"/>
  <c r="H100" i="1"/>
  <c r="I100" i="1" s="1"/>
  <c r="H99" i="1"/>
  <c r="I99" i="1" s="1"/>
  <c r="H98" i="1"/>
  <c r="I98" i="1" s="1"/>
  <c r="H97" i="1"/>
  <c r="I97" i="1" s="1"/>
  <c r="H96" i="1"/>
  <c r="I96" i="1" s="1"/>
  <c r="H95" i="1"/>
  <c r="I95" i="1" s="1"/>
  <c r="H94" i="1"/>
  <c r="I94" i="1" s="1"/>
  <c r="H93" i="1"/>
  <c r="I93" i="1" s="1"/>
  <c r="H92" i="1"/>
  <c r="I92" i="1" s="1"/>
  <c r="H91" i="1"/>
  <c r="I91" i="1" s="1"/>
  <c r="H90" i="1"/>
  <c r="I90" i="1" s="1"/>
  <c r="H89" i="1"/>
  <c r="I89" i="1" s="1"/>
  <c r="H88" i="1"/>
  <c r="I88" i="1" s="1"/>
  <c r="H87" i="1"/>
  <c r="I87" i="1" s="1"/>
  <c r="H86" i="1"/>
  <c r="I86" i="1" s="1"/>
  <c r="H85" i="1"/>
  <c r="I85" i="1" s="1"/>
  <c r="H84" i="1"/>
  <c r="I84" i="1" s="1"/>
  <c r="H83" i="1"/>
  <c r="I83" i="1" s="1"/>
  <c r="H82" i="1"/>
  <c r="I82" i="1" s="1"/>
  <c r="H81" i="1"/>
  <c r="I81" i="1" s="1"/>
  <c r="H80" i="1"/>
  <c r="I80" i="1" s="1"/>
  <c r="H79" i="1"/>
  <c r="I79" i="1" s="1"/>
  <c r="H78" i="1"/>
  <c r="I78" i="1" s="1"/>
  <c r="H77" i="1"/>
  <c r="I77" i="1" s="1"/>
  <c r="H76" i="1"/>
  <c r="I76" i="1" s="1"/>
  <c r="H75" i="1"/>
  <c r="I75" i="1" s="1"/>
  <c r="H74" i="1"/>
  <c r="I74" i="1" s="1"/>
  <c r="H73" i="1"/>
  <c r="I73" i="1" s="1"/>
  <c r="H72" i="1"/>
  <c r="I72" i="1" s="1"/>
  <c r="H71" i="1"/>
  <c r="I71" i="1" s="1"/>
  <c r="H70" i="1"/>
  <c r="I70" i="1" s="1"/>
  <c r="H69" i="1"/>
  <c r="I69" i="1" s="1"/>
  <c r="H68" i="1"/>
  <c r="I68" i="1" s="1"/>
  <c r="H67" i="1"/>
  <c r="I67" i="1" s="1"/>
  <c r="H66" i="1"/>
  <c r="I66" i="1" s="1"/>
  <c r="H65" i="1"/>
  <c r="I65" i="1" s="1"/>
  <c r="H64" i="1"/>
  <c r="I64" i="1" s="1"/>
  <c r="H63" i="1"/>
  <c r="I63" i="1" s="1"/>
  <c r="H62" i="1"/>
  <c r="I62" i="1" s="1"/>
  <c r="H61" i="1"/>
  <c r="I61" i="1" s="1"/>
  <c r="H60" i="1"/>
  <c r="I60" i="1" s="1"/>
  <c r="H59" i="1"/>
  <c r="I59" i="1" s="1"/>
  <c r="H58" i="1"/>
  <c r="I58" i="1" s="1"/>
  <c r="H57" i="1"/>
  <c r="I57" i="1" s="1"/>
  <c r="H56" i="1"/>
  <c r="I56" i="1" s="1"/>
  <c r="H55" i="1"/>
  <c r="I55" i="1" s="1"/>
  <c r="H54" i="1"/>
  <c r="I54" i="1" s="1"/>
  <c r="H53" i="1"/>
  <c r="I53" i="1" s="1"/>
  <c r="H52" i="1"/>
  <c r="I52" i="1" s="1"/>
  <c r="H51" i="1"/>
  <c r="I51" i="1" s="1"/>
  <c r="H50" i="1"/>
  <c r="I50" i="1" s="1"/>
  <c r="H49" i="1"/>
  <c r="I49" i="1" s="1"/>
  <c r="H48" i="1"/>
  <c r="I48" i="1" s="1"/>
  <c r="H47" i="1"/>
  <c r="I47" i="1" s="1"/>
  <c r="H46" i="1"/>
  <c r="I46" i="1" s="1"/>
  <c r="H45" i="1"/>
  <c r="I45" i="1" s="1"/>
  <c r="H44" i="1"/>
  <c r="I44" i="1" s="1"/>
  <c r="H43" i="1"/>
  <c r="I43" i="1" s="1"/>
  <c r="H42" i="1"/>
  <c r="I42" i="1" s="1"/>
  <c r="H41" i="1"/>
  <c r="I41" i="1" s="1"/>
  <c r="H40" i="1"/>
  <c r="I40" i="1" s="1"/>
  <c r="H39" i="1"/>
  <c r="I39" i="1" s="1"/>
  <c r="H38" i="1"/>
  <c r="I38" i="1" s="1"/>
  <c r="H37" i="1"/>
  <c r="I37" i="1" s="1"/>
  <c r="H36" i="1"/>
  <c r="I36" i="1" s="1"/>
  <c r="H35" i="1"/>
  <c r="I35" i="1" s="1"/>
  <c r="H34" i="1"/>
  <c r="I34" i="1" s="1"/>
  <c r="H33" i="1"/>
  <c r="I33" i="1" s="1"/>
  <c r="I32" i="1"/>
  <c r="H32" i="1"/>
  <c r="H31" i="1"/>
  <c r="I31" i="1" s="1"/>
  <c r="H30" i="1"/>
  <c r="I30" i="1" s="1"/>
  <c r="H29" i="1"/>
  <c r="I29" i="1" s="1"/>
  <c r="H28" i="1"/>
  <c r="I28" i="1" s="1"/>
  <c r="H27" i="1"/>
  <c r="I27" i="1" s="1"/>
  <c r="H26" i="1"/>
  <c r="I26" i="1" s="1"/>
  <c r="H25" i="1"/>
  <c r="I25" i="1" s="1"/>
  <c r="H24" i="1"/>
  <c r="I24" i="1" s="1"/>
  <c r="H23" i="1"/>
  <c r="I23" i="1" s="1"/>
  <c r="H22" i="1"/>
  <c r="I22" i="1" s="1"/>
  <c r="H21" i="1"/>
  <c r="I21" i="1" s="1"/>
  <c r="H20" i="1"/>
  <c r="I20" i="1" s="1"/>
  <c r="H19" i="1"/>
  <c r="I19" i="1" s="1"/>
  <c r="H18" i="1"/>
  <c r="I18" i="1" s="1"/>
  <c r="H17" i="1"/>
  <c r="I17" i="1" s="1"/>
  <c r="I16" i="1"/>
  <c r="H16" i="1"/>
  <c r="H15" i="1"/>
  <c r="I15" i="1" s="1"/>
  <c r="H14" i="1"/>
  <c r="I14" i="1" s="1"/>
  <c r="H13" i="1"/>
  <c r="I13" i="1" s="1"/>
  <c r="H12" i="1"/>
  <c r="I12" i="1" s="1"/>
  <c r="H11" i="1"/>
  <c r="I11" i="1" s="1"/>
  <c r="H10" i="1"/>
  <c r="I10" i="1" s="1"/>
  <c r="H9" i="1"/>
  <c r="I9" i="1" s="1"/>
  <c r="H8" i="1"/>
  <c r="I8" i="1" s="1"/>
  <c r="H7" i="1"/>
  <c r="I7" i="1" s="1"/>
  <c r="H6" i="1"/>
  <c r="I6" i="1" s="1"/>
  <c r="H5" i="1"/>
  <c r="I5" i="1" s="1"/>
  <c r="L23" i="5"/>
  <c r="C488" i="1" l="1"/>
  <c r="C482" i="1"/>
</calcChain>
</file>

<file path=xl/sharedStrings.xml><?xml version="1.0" encoding="utf-8"?>
<sst xmlns="http://schemas.openxmlformats.org/spreadsheetml/2006/main" count="3418" uniqueCount="789">
  <si>
    <t>Delhi</t>
  </si>
  <si>
    <t>Kolkata</t>
  </si>
  <si>
    <t>Ahmedabad</t>
  </si>
  <si>
    <t>Bangalore</t>
  </si>
  <si>
    <t>Medicine name</t>
  </si>
  <si>
    <t>Region</t>
  </si>
  <si>
    <t>City</t>
  </si>
  <si>
    <t>Customer Name</t>
  </si>
  <si>
    <t>Month</t>
  </si>
  <si>
    <t>France</t>
  </si>
  <si>
    <t>Paris</t>
  </si>
  <si>
    <t>Elon Musk</t>
  </si>
  <si>
    <t>United States</t>
  </si>
  <si>
    <t>Austin</t>
  </si>
  <si>
    <t>Jeff Bezos</t>
  </si>
  <si>
    <t>Medina</t>
  </si>
  <si>
    <t>Larry Ellison</t>
  </si>
  <si>
    <t>Lanai</t>
  </si>
  <si>
    <t>Warren Buffett</t>
  </si>
  <si>
    <t>Omaha</t>
  </si>
  <si>
    <t>Bill Gates</t>
  </si>
  <si>
    <t>Michael Bloomberg</t>
  </si>
  <si>
    <t>New York</t>
  </si>
  <si>
    <t>Carlos Slim Helu &amp; family</t>
  </si>
  <si>
    <t>Mexico</t>
  </si>
  <si>
    <t>Mexico City</t>
  </si>
  <si>
    <t>Mukesh Ambani</t>
  </si>
  <si>
    <t>India</t>
  </si>
  <si>
    <t>Mumbai</t>
  </si>
  <si>
    <t>Steve Ballmer</t>
  </si>
  <si>
    <t>Hunts Point</t>
  </si>
  <si>
    <t>Francoise Bettencourt Meyers &amp; family</t>
  </si>
  <si>
    <t>Larry Page</t>
  </si>
  <si>
    <t>Palo Alto</t>
  </si>
  <si>
    <t>Amancio Ortega</t>
  </si>
  <si>
    <t>Spain</t>
  </si>
  <si>
    <t>La Coruna</t>
  </si>
  <si>
    <t>Sergey Brin</t>
  </si>
  <si>
    <t>Los Altos</t>
  </si>
  <si>
    <t>Zhong Shanshan</t>
  </si>
  <si>
    <t>China</t>
  </si>
  <si>
    <t>Hangzhou</t>
  </si>
  <si>
    <t>Mark Zuckerberg</t>
  </si>
  <si>
    <t>Charles Koch &amp; family</t>
  </si>
  <si>
    <t>Wichita</t>
  </si>
  <si>
    <t>Julia Koch &amp; family</t>
  </si>
  <si>
    <t>Jim Walton</t>
  </si>
  <si>
    <t>Bentonville</t>
  </si>
  <si>
    <t>Rob Walton &amp; family</t>
  </si>
  <si>
    <t>Alice Walton</t>
  </si>
  <si>
    <t>Fort Worth</t>
  </si>
  <si>
    <t>David Thomson &amp; family</t>
  </si>
  <si>
    <t>Canada</t>
  </si>
  <si>
    <t>Toronto</t>
  </si>
  <si>
    <t>Michael Dell</t>
  </si>
  <si>
    <t>Gautam Adani</t>
  </si>
  <si>
    <t>Phil Knight &amp; family</t>
  </si>
  <si>
    <t>Hillsboro</t>
  </si>
  <si>
    <t>Zhang Yiming</t>
  </si>
  <si>
    <t>Beijing</t>
  </si>
  <si>
    <t>Dieter Schwarz</t>
  </si>
  <si>
    <t>Germany</t>
  </si>
  <si>
    <t>Neckarsulm</t>
  </si>
  <si>
    <t>François Pinault &amp; family</t>
  </si>
  <si>
    <t>Klaus-Michael Kuehne</t>
  </si>
  <si>
    <t>Switzerland</t>
  </si>
  <si>
    <t>Schindellegi</t>
  </si>
  <si>
    <t>Giovanni Ferrero</t>
  </si>
  <si>
    <t>Belgium</t>
  </si>
  <si>
    <t>Brussels</t>
  </si>
  <si>
    <t>Jacqueline Mars</t>
  </si>
  <si>
    <t>The Plains</t>
  </si>
  <si>
    <t>John Mars</t>
  </si>
  <si>
    <t>Jackson</t>
  </si>
  <si>
    <t>Ma Huateng</t>
  </si>
  <si>
    <t>Shenzhen</t>
  </si>
  <si>
    <t>Miriam Adelson &amp; family</t>
  </si>
  <si>
    <t>Las Vegas</t>
  </si>
  <si>
    <t>Ken Griffin</t>
  </si>
  <si>
    <t>Miami</t>
  </si>
  <si>
    <t>Mark Mateschitz</t>
  </si>
  <si>
    <t>Austria</t>
  </si>
  <si>
    <t>Salzburg</t>
  </si>
  <si>
    <t>Robin Zeng</t>
  </si>
  <si>
    <t>Ningde</t>
  </si>
  <si>
    <t>Tadashi Yanai &amp; family</t>
  </si>
  <si>
    <t>Japan</t>
  </si>
  <si>
    <t>Tokyo</t>
  </si>
  <si>
    <t>Len Blavatnik</t>
  </si>
  <si>
    <t>United Kingdom</t>
  </si>
  <si>
    <t>London</t>
  </si>
  <si>
    <t>Alain Wertheimer</t>
  </si>
  <si>
    <t>Gerard Wertheimer</t>
  </si>
  <si>
    <t>Gianluigi Aponte</t>
  </si>
  <si>
    <t>Geneva</t>
  </si>
  <si>
    <t>Rafaela Aponte-Diamant</t>
  </si>
  <si>
    <t>Colin Zheng Huang</t>
  </si>
  <si>
    <t>Shanghai</t>
  </si>
  <si>
    <t>Reinhold Wuerth &amp; family</t>
  </si>
  <si>
    <t>Kuenzelsau</t>
  </si>
  <si>
    <t>Jeff Yass</t>
  </si>
  <si>
    <t>Haverford</t>
  </si>
  <si>
    <t>Jim Simons</t>
  </si>
  <si>
    <t>East Setauket</t>
  </si>
  <si>
    <t>Stephen Schwarzman</t>
  </si>
  <si>
    <t>Susanne Klatten</t>
  </si>
  <si>
    <t>Bad Homburg</t>
  </si>
  <si>
    <t>Gina Rinehart</t>
  </si>
  <si>
    <t>Australia</t>
  </si>
  <si>
    <t>Perth</t>
  </si>
  <si>
    <t>William Ding</t>
  </si>
  <si>
    <t>Germán Larrea Mota Velasco &amp; family</t>
  </si>
  <si>
    <t>Shiv Nadar</t>
  </si>
  <si>
    <t>Low Tuck Kwong</t>
  </si>
  <si>
    <t>Indonesia</t>
  </si>
  <si>
    <t>Jakarta</t>
  </si>
  <si>
    <t>Thomas Peterffy</t>
  </si>
  <si>
    <t>Palm Beach</t>
  </si>
  <si>
    <t>Andrey Melnichenko &amp; family</t>
  </si>
  <si>
    <t>United Arab Emirates</t>
  </si>
  <si>
    <t>Ras Al Khaimah</t>
  </si>
  <si>
    <t>Stefan Quandt</t>
  </si>
  <si>
    <t>Frankfurt</t>
  </si>
  <si>
    <t>MacKenzie Scott</t>
  </si>
  <si>
    <t>Seattle</t>
  </si>
  <si>
    <t>R. Budi Hartono</t>
  </si>
  <si>
    <t>Kudus</t>
  </si>
  <si>
    <t>Vladimir Potanin</t>
  </si>
  <si>
    <t>Russia</t>
  </si>
  <si>
    <t>Moscow</t>
  </si>
  <si>
    <t>Jack Ma</t>
  </si>
  <si>
    <t>He Xiangjian &amp; family</t>
  </si>
  <si>
    <t>Foshan</t>
  </si>
  <si>
    <t>Iris Fontbona &amp; family</t>
  </si>
  <si>
    <t>Chile</t>
  </si>
  <si>
    <t>Santiago</t>
  </si>
  <si>
    <t>Michael Hartono</t>
  </si>
  <si>
    <t>James Ratcliffe</t>
  </si>
  <si>
    <t>Cyrus Poonawalla</t>
  </si>
  <si>
    <t>Pune</t>
  </si>
  <si>
    <t>Masayoshi Son</t>
  </si>
  <si>
    <t>Vladimir Lisin</t>
  </si>
  <si>
    <t>Emmanuel Besnier</t>
  </si>
  <si>
    <t>Laval</t>
  </si>
  <si>
    <t>Abigail Johnson</t>
  </si>
  <si>
    <t>Milton</t>
  </si>
  <si>
    <t>Leonid Mikhelson &amp; family</t>
  </si>
  <si>
    <t>Lukas Walton</t>
  </si>
  <si>
    <t>Chicago</t>
  </si>
  <si>
    <t>Wang Wei</t>
  </si>
  <si>
    <t>Jensen Huang</t>
  </si>
  <si>
    <t>Leonard Lauder</t>
  </si>
  <si>
    <t>Takemitsu Takizaki</t>
  </si>
  <si>
    <t>Osaka</t>
  </si>
  <si>
    <t>Alexey Mordashov &amp; family</t>
  </si>
  <si>
    <t>Vagit Alekperov</t>
  </si>
  <si>
    <t>Thomas Frist, Jr. &amp; family</t>
  </si>
  <si>
    <t>Nashville</t>
  </si>
  <si>
    <t>Andrew Forrest</t>
  </si>
  <si>
    <t>Ray Dalio</t>
  </si>
  <si>
    <t>Greenwich</t>
  </si>
  <si>
    <t>Eric Li</t>
  </si>
  <si>
    <t>Wang Wenyin</t>
  </si>
  <si>
    <t>Qin Yinglin</t>
  </si>
  <si>
    <t>Nanyang</t>
  </si>
  <si>
    <t>Wang Chuanfu</t>
  </si>
  <si>
    <t>Harold Hamm &amp; family</t>
  </si>
  <si>
    <t>Oklahoma City</t>
  </si>
  <si>
    <t>David Tepper</t>
  </si>
  <si>
    <t>Gennady Timchenko</t>
  </si>
  <si>
    <t>Daniel Gilbert</t>
  </si>
  <si>
    <t>Franklin</t>
  </si>
  <si>
    <t>Lakshmi Mittal</t>
  </si>
  <si>
    <t>Steve Cohen</t>
  </si>
  <si>
    <t>Carl Icahn</t>
  </si>
  <si>
    <t>Indian Creek</t>
  </si>
  <si>
    <t>Savitri Jindal &amp; family</t>
  </si>
  <si>
    <t>Hisar</t>
  </si>
  <si>
    <t>Donald Bren</t>
  </si>
  <si>
    <t>Newport Beach</t>
  </si>
  <si>
    <t>John Menard, Jr.</t>
  </si>
  <si>
    <t>Eau Claire</t>
  </si>
  <si>
    <t>Rupert Murdoch &amp; family</t>
  </si>
  <si>
    <t>Vicky Safra &amp; family</t>
  </si>
  <si>
    <t>Crans-Montana</t>
  </si>
  <si>
    <t>Theo Albrecht, Jr. &amp; family</t>
  </si>
  <si>
    <t>Mulheim an der Ruhr</t>
  </si>
  <si>
    <t>Renata Kellnerova &amp; family</t>
  </si>
  <si>
    <t>Czech Republic</t>
  </si>
  <si>
    <t>Prague</t>
  </si>
  <si>
    <t>Li Xiting</t>
  </si>
  <si>
    <t>Stefan Persson</t>
  </si>
  <si>
    <t>Sweden</t>
  </si>
  <si>
    <t>Stockholm</t>
  </si>
  <si>
    <t>Eric Schmidt</t>
  </si>
  <si>
    <t>Atherton</t>
  </si>
  <si>
    <t>Michael Platt</t>
  </si>
  <si>
    <t>Pang Kang</t>
  </si>
  <si>
    <t>Jorge Paulo Lemann &amp; family</t>
  </si>
  <si>
    <t>Zurich</t>
  </si>
  <si>
    <t>Dilip Shanghvi</t>
  </si>
  <si>
    <t>Robert Pera</t>
  </si>
  <si>
    <t>San Jose</t>
  </si>
  <si>
    <t>Radhakishan Damani</t>
  </si>
  <si>
    <t>Huang Shilin</t>
  </si>
  <si>
    <t>Dhanin Chearavanont</t>
  </si>
  <si>
    <t>Thailand</t>
  </si>
  <si>
    <t>Bangkok</t>
  </si>
  <si>
    <t>David Green &amp; family</t>
  </si>
  <si>
    <t>Charoen Sirivadhanabhakdi</t>
  </si>
  <si>
    <t>Charlene de Carvalho-Heineken &amp; family</t>
  </si>
  <si>
    <t>Xu Hang</t>
  </si>
  <si>
    <t>Wei Jianjun &amp; family</t>
  </si>
  <si>
    <t>Baoding</t>
  </si>
  <si>
    <t>Goh Cheng Liang</t>
  </si>
  <si>
    <t>Singapore</t>
  </si>
  <si>
    <t>Kumar Birla</t>
  </si>
  <si>
    <t>Aliko Dangote</t>
  </si>
  <si>
    <t>Nigeria</t>
  </si>
  <si>
    <t>Lagos</t>
  </si>
  <si>
    <t>Idan Ofer</t>
  </si>
  <si>
    <t>Chen Bang</t>
  </si>
  <si>
    <t>Changsha</t>
  </si>
  <si>
    <t>John Fredriksen</t>
  </si>
  <si>
    <t>Diane Hendricks</t>
  </si>
  <si>
    <t>Afton</t>
  </si>
  <si>
    <t>Jan Koum</t>
  </si>
  <si>
    <t>Jerry Jones</t>
  </si>
  <si>
    <t>Dallas</t>
  </si>
  <si>
    <t>George Kaiser</t>
  </si>
  <si>
    <t>Tulsa</t>
  </si>
  <si>
    <t>Lu Xiangyang</t>
  </si>
  <si>
    <t>Guangzhou</t>
  </si>
  <si>
    <t>Harry Triguboff</t>
  </si>
  <si>
    <t>Sydney</t>
  </si>
  <si>
    <t>Uday Kotak</t>
  </si>
  <si>
    <t>Stanley Kroenke</t>
  </si>
  <si>
    <t>Electra</t>
  </si>
  <si>
    <t>Mikhail Fridman</t>
  </si>
  <si>
    <t>Sarath Ratanavadi</t>
  </si>
  <si>
    <t>Dang Yanbao</t>
  </si>
  <si>
    <t>Yinchuan</t>
  </si>
  <si>
    <t>Jiang Rensheng &amp; family</t>
  </si>
  <si>
    <t>Chongqing</t>
  </si>
  <si>
    <t>Shahid Khan</t>
  </si>
  <si>
    <t>Naples</t>
  </si>
  <si>
    <t>Laurene Powell Jobs &amp; family</t>
  </si>
  <si>
    <t>Stephen Ross</t>
  </si>
  <si>
    <t>Pavel Durov</t>
  </si>
  <si>
    <t>Dubai</t>
  </si>
  <si>
    <t>Andreas Struengmann &amp; family</t>
  </si>
  <si>
    <t>Tegernsee</t>
  </si>
  <si>
    <t>Thomas Struengmann &amp; family</t>
  </si>
  <si>
    <t>Liu Hanyuan</t>
  </si>
  <si>
    <t>Chengdu</t>
  </si>
  <si>
    <t>Michael Rubin</t>
  </si>
  <si>
    <t>Bryn Mawr</t>
  </si>
  <si>
    <t>Israel Englander</t>
  </si>
  <si>
    <t>Viatcheslav Kantor</t>
  </si>
  <si>
    <t>Israel</t>
  </si>
  <si>
    <t>Herzliya</t>
  </si>
  <si>
    <t>Anthony Pratt</t>
  </si>
  <si>
    <t>Melbourne</t>
  </si>
  <si>
    <t>Mikhail Prokhorov</t>
  </si>
  <si>
    <t>Frauenfeld</t>
  </si>
  <si>
    <t>Giorgio Armani</t>
  </si>
  <si>
    <t>Italy</t>
  </si>
  <si>
    <t>Milan</t>
  </si>
  <si>
    <t>Johann Rupert &amp; family</t>
  </si>
  <si>
    <t>South Africa</t>
  </si>
  <si>
    <t>Cape Town</t>
  </si>
  <si>
    <t>Zhang Zhidong</t>
  </si>
  <si>
    <t>Philip Anschutz</t>
  </si>
  <si>
    <t>Denver</t>
  </si>
  <si>
    <t>Judy Love &amp; family</t>
  </si>
  <si>
    <t>Ricardo Salinas Pliego &amp; family</t>
  </si>
  <si>
    <t>Donald Newhouse</t>
  </si>
  <si>
    <t>Robert Kraft</t>
  </si>
  <si>
    <t>Brookline</t>
  </si>
  <si>
    <t>Marcel Herrmann Telles</t>
  </si>
  <si>
    <t>Brazil</t>
  </si>
  <si>
    <t>Sao Paulo</t>
  </si>
  <si>
    <t>Suleiman Kerimov &amp; family</t>
  </si>
  <si>
    <t>Sky Xu</t>
  </si>
  <si>
    <t>Changpeng Zhao</t>
  </si>
  <si>
    <t>Andrew Beal</t>
  </si>
  <si>
    <t>Mike Cannon-Brookes</t>
  </si>
  <si>
    <t>Carl Cook</t>
  </si>
  <si>
    <t>Bloomington</t>
  </si>
  <si>
    <t>David Duffield</t>
  </si>
  <si>
    <t>Incline Village</t>
  </si>
  <si>
    <t>Jeffery Hildebrand</t>
  </si>
  <si>
    <t>Houston</t>
  </si>
  <si>
    <t>Viktor Rashnikov</t>
  </si>
  <si>
    <t>Magnitogorsk</t>
  </si>
  <si>
    <t>Eduardo Saverin</t>
  </si>
  <si>
    <t>Georg Schaeffler</t>
  </si>
  <si>
    <t>Herzogenaurach</t>
  </si>
  <si>
    <t>Christy Walton</t>
  </si>
  <si>
    <t>Scott Farquhar</t>
  </si>
  <si>
    <t>Quek Leng Chan</t>
  </si>
  <si>
    <t>Malaysia</t>
  </si>
  <si>
    <t>Kuala Lumpur</t>
  </si>
  <si>
    <t>Wu Yajun</t>
  </si>
  <si>
    <t>Autry Stephens</t>
  </si>
  <si>
    <t>Midland</t>
  </si>
  <si>
    <t>Liu Yongxing</t>
  </si>
  <si>
    <t>Vinod Adani</t>
  </si>
  <si>
    <t>Nicolas Puech</t>
  </si>
  <si>
    <t>Martigny</t>
  </si>
  <si>
    <t>Jacques Saadé, Jr.</t>
  </si>
  <si>
    <t>Marseille</t>
  </si>
  <si>
    <t>Rodolphe Saadé</t>
  </si>
  <si>
    <t>Tanya Saadé Zeenny</t>
  </si>
  <si>
    <t>Melker Schorling &amp; family</t>
  </si>
  <si>
    <t>Andrei Guriev &amp; family</t>
  </si>
  <si>
    <t>Michael Kim</t>
  </si>
  <si>
    <t>South Korea</t>
  </si>
  <si>
    <t>Seoul</t>
  </si>
  <si>
    <t>Lei Jun</t>
  </si>
  <si>
    <t>Friedhelm Loh</t>
  </si>
  <si>
    <t>Haiger</t>
  </si>
  <si>
    <t>Sun Piaoyang</t>
  </si>
  <si>
    <t>Lianyungang</t>
  </si>
  <si>
    <t>Rick Cohen &amp; family</t>
  </si>
  <si>
    <t>Keene</t>
  </si>
  <si>
    <t>Jin Baofang</t>
  </si>
  <si>
    <t>Xingtai</t>
  </si>
  <si>
    <t>Luo Liguo &amp; family</t>
  </si>
  <si>
    <t>Ningbo</t>
  </si>
  <si>
    <t>Marijke Mars</t>
  </si>
  <si>
    <t>Los Angeles</t>
  </si>
  <si>
    <t>Pamela Mars</t>
  </si>
  <si>
    <t>Alexandria</t>
  </si>
  <si>
    <t>Valerie Mars</t>
  </si>
  <si>
    <t>Victoria Mars</t>
  </si>
  <si>
    <t>Philadelphia</t>
  </si>
  <si>
    <t>Vincent Bolloré &amp; family</t>
  </si>
  <si>
    <t>Jim Pattison</t>
  </si>
  <si>
    <t>Vancouver</t>
  </si>
  <si>
    <t>Ernesto Bertarelli</t>
  </si>
  <si>
    <t>Gstaad</t>
  </si>
  <si>
    <t>Wang Xing</t>
  </si>
  <si>
    <t>Brian Chesky</t>
  </si>
  <si>
    <t>San Francisco</t>
  </si>
  <si>
    <t>James Dyson</t>
  </si>
  <si>
    <t>Gloucestershire</t>
  </si>
  <si>
    <t>Roman Abramovich &amp; family</t>
  </si>
  <si>
    <t>Antonia Ax:son Johnson &amp; family</t>
  </si>
  <si>
    <t>Daniel Kretinsky</t>
  </si>
  <si>
    <t>John Malone</t>
  </si>
  <si>
    <t>Elizabeth</t>
  </si>
  <si>
    <t>Azim Premji</t>
  </si>
  <si>
    <t>Charles Schwab</t>
  </si>
  <si>
    <t>Woodside</t>
  </si>
  <si>
    <t>Eric Smidt</t>
  </si>
  <si>
    <t>Beverly Hills</t>
  </si>
  <si>
    <t>David Cheriton</t>
  </si>
  <si>
    <t>Ivan Glasenberg</t>
  </si>
  <si>
    <t>Ruschlikon</t>
  </si>
  <si>
    <t>Alexander Otto</t>
  </si>
  <si>
    <t>Hamburg</t>
  </si>
  <si>
    <t>Anthony von Mandl</t>
  </si>
  <si>
    <t>Wang Liping &amp; family</t>
  </si>
  <si>
    <t>Changzhou</t>
  </si>
  <si>
    <t>Finn Rausing</t>
  </si>
  <si>
    <t>Jorn Rausing</t>
  </si>
  <si>
    <t>Surrey</t>
  </si>
  <si>
    <t>Kirsten Rausing</t>
  </si>
  <si>
    <t>Newmarket</t>
  </si>
  <si>
    <t>Tatyana Bakalchuk</t>
  </si>
  <si>
    <t>Moscow region</t>
  </si>
  <si>
    <t>John Doerr</t>
  </si>
  <si>
    <t>Richard Liu</t>
  </si>
  <si>
    <t>Dustin Moskovitz</t>
  </si>
  <si>
    <t>Pierre Omidyar</t>
  </si>
  <si>
    <t>Honolulu</t>
  </si>
  <si>
    <t>Pei Zhenhua</t>
  </si>
  <si>
    <t>Carrie Perrodo &amp; family</t>
  </si>
  <si>
    <t>Chen Jianhua</t>
  </si>
  <si>
    <t>Wujiang</t>
  </si>
  <si>
    <t>Michael Otto</t>
  </si>
  <si>
    <t>Leon Black</t>
  </si>
  <si>
    <t>Graeme Hart</t>
  </si>
  <si>
    <t>New Zealand</t>
  </si>
  <si>
    <t>Auckland</t>
  </si>
  <si>
    <t>Ravi Jaipuria</t>
  </si>
  <si>
    <t>Hasso Plattner &amp; family</t>
  </si>
  <si>
    <t>Heidelberg</t>
  </si>
  <si>
    <t>Carlos Alberto Sicupira &amp; family</t>
  </si>
  <si>
    <t>St. Gallen</t>
  </si>
  <si>
    <t>Manuel Villar</t>
  </si>
  <si>
    <t>Philippines</t>
  </si>
  <si>
    <t>Manila</t>
  </si>
  <si>
    <t>Andreas von Bechtolsheim &amp; family</t>
  </si>
  <si>
    <t>Chase Coleman, III.</t>
  </si>
  <si>
    <t>Ann Walton Kroenke</t>
  </si>
  <si>
    <t>Li Zhenguo &amp; family</t>
  </si>
  <si>
    <t>Xi'an</t>
  </si>
  <si>
    <t>Jim Kennedy</t>
  </si>
  <si>
    <t>Atlanta</t>
  </si>
  <si>
    <t>Nicky Oppenheimer &amp; family</t>
  </si>
  <si>
    <t>Johannesburg</t>
  </si>
  <si>
    <t>Blair Parry-Okeden</t>
  </si>
  <si>
    <t>New South Wales</t>
  </si>
  <si>
    <t>Zheng Shuliang &amp; family</t>
  </si>
  <si>
    <t>Binzhou</t>
  </si>
  <si>
    <t>John Morris</t>
  </si>
  <si>
    <t>Springfield</t>
  </si>
  <si>
    <t>German Khan</t>
  </si>
  <si>
    <t>Abdulsamad Rabiu</t>
  </si>
  <si>
    <t>George Roberts</t>
  </si>
  <si>
    <t>Kushal Pal Singh</t>
  </si>
  <si>
    <t>Wang Jianlin</t>
  </si>
  <si>
    <t>Yang Huiyan &amp; family</t>
  </si>
  <si>
    <t>Laurent Dassault</t>
  </si>
  <si>
    <t>Thierry Dassault</t>
  </si>
  <si>
    <t>Tilman Fertitta</t>
  </si>
  <si>
    <t>Marie-Hélène Habert-Dassault</t>
  </si>
  <si>
    <t>Karel Komarek</t>
  </si>
  <si>
    <t>Verbier</t>
  </si>
  <si>
    <t>Nathan Blecharczyk</t>
  </si>
  <si>
    <t>Leonid Fedun</t>
  </si>
  <si>
    <t>Bernard Marcus</t>
  </si>
  <si>
    <t>Patrick Ryan</t>
  </si>
  <si>
    <t>Winnetka</t>
  </si>
  <si>
    <t>Robert F. Smith</t>
  </si>
  <si>
    <t>Pavel Tykac</t>
  </si>
  <si>
    <t>Orlando Bravo</t>
  </si>
  <si>
    <t>Miami Beach</t>
  </si>
  <si>
    <t>Ding Shizhong</t>
  </si>
  <si>
    <t>Quanzhou</t>
  </si>
  <si>
    <t>Nancy Walton Laurie</t>
  </si>
  <si>
    <t>Henderson</t>
  </si>
  <si>
    <t>Jay Y. Lee</t>
  </si>
  <si>
    <t>Ramzi Musallam</t>
  </si>
  <si>
    <t>David Shaw</t>
  </si>
  <si>
    <t>Andrei Skoch &amp; family</t>
  </si>
  <si>
    <t>Georg Stumpf</t>
  </si>
  <si>
    <t>Vienna</t>
  </si>
  <si>
    <t>Rocco Commisso</t>
  </si>
  <si>
    <t>Saddle River</t>
  </si>
  <si>
    <t>Li Shuirong &amp; family</t>
  </si>
  <si>
    <t>Qi Shi &amp; family</t>
  </si>
  <si>
    <t>Yao Liangsong</t>
  </si>
  <si>
    <t>Jean-Michel Besnier</t>
  </si>
  <si>
    <t>Marie Besnier Beauvalot</t>
  </si>
  <si>
    <t>David Geffen</t>
  </si>
  <si>
    <t>Robin Li</t>
  </si>
  <si>
    <t>Liu Yonghao &amp; family</t>
  </si>
  <si>
    <t>Henry Samueli</t>
  </si>
  <si>
    <t>Reinhold Schmieding</t>
  </si>
  <si>
    <t>Ivar Tollefsen</t>
  </si>
  <si>
    <t>Norway</t>
  </si>
  <si>
    <t>Oslo</t>
  </si>
  <si>
    <t>Cao Renxian</t>
  </si>
  <si>
    <t>Hefei</t>
  </si>
  <si>
    <t>Hasmukh Chudgar &amp; family</t>
  </si>
  <si>
    <t>Andrew Currie</t>
  </si>
  <si>
    <t>Joe Gebbia</t>
  </si>
  <si>
    <t>Philip Ng</t>
  </si>
  <si>
    <t>John Reece</t>
  </si>
  <si>
    <t>Leonard Stern</t>
  </si>
  <si>
    <t>Zhong Huijuan</t>
  </si>
  <si>
    <t>Arthur Blank</t>
  </si>
  <si>
    <t>Charles Butt</t>
  </si>
  <si>
    <t>San Antonio</t>
  </si>
  <si>
    <t>Ding Shijia</t>
  </si>
  <si>
    <t>Paul Tudor Jones, II.</t>
  </si>
  <si>
    <t>Henry Kravis</t>
  </si>
  <si>
    <t>Zhang Yong</t>
  </si>
  <si>
    <t>James Goodnight</t>
  </si>
  <si>
    <t>Cary</t>
  </si>
  <si>
    <t>Sri Prakash Lohia</t>
  </si>
  <si>
    <t>Ma Jianrong</t>
  </si>
  <si>
    <t>Robert Ng</t>
  </si>
  <si>
    <t>Steven Rales</t>
  </si>
  <si>
    <t>Santa Barbara</t>
  </si>
  <si>
    <t>Nassef Sawiris</t>
  </si>
  <si>
    <t>Egypt</t>
  </si>
  <si>
    <t>Cairo</t>
  </si>
  <si>
    <t>Harry Stine</t>
  </si>
  <si>
    <t>Adel</t>
  </si>
  <si>
    <t>Benu Gopal Bangur</t>
  </si>
  <si>
    <t>Iskander Makhmudov</t>
  </si>
  <si>
    <t>Anders Holch Povlsen</t>
  </si>
  <si>
    <t>Denmark</t>
  </si>
  <si>
    <t>Aarhus</t>
  </si>
  <si>
    <t>Enrique Razon Jr.</t>
  </si>
  <si>
    <t>Wang Laichun</t>
  </si>
  <si>
    <t>Arthur Dantchik</t>
  </si>
  <si>
    <t>Gladwyne</t>
  </si>
  <si>
    <t>Jeff Greene</t>
  </si>
  <si>
    <t>Don Hankey</t>
  </si>
  <si>
    <t>Malibu</t>
  </si>
  <si>
    <t>Richard Kinder</t>
  </si>
  <si>
    <t>Guillaume Pousaz</t>
  </si>
  <si>
    <t>Takahisa Takahara</t>
  </si>
  <si>
    <t>Zong Qinghou</t>
  </si>
  <si>
    <t>Judy Faulkner</t>
  </si>
  <si>
    <t>Madison</t>
  </si>
  <si>
    <t>Johann Graf</t>
  </si>
  <si>
    <t>Tamara Gustavson</t>
  </si>
  <si>
    <t>Lexington</t>
  </si>
  <si>
    <t>Liang Wengen</t>
  </si>
  <si>
    <t>Frederik Paulsen</t>
  </si>
  <si>
    <t>Lausanne</t>
  </si>
  <si>
    <t>Wee Cho Yaw</t>
  </si>
  <si>
    <t>Zhang Hejun</t>
  </si>
  <si>
    <t>Marc Benioff</t>
  </si>
  <si>
    <t>Dmitri Bukhman</t>
  </si>
  <si>
    <t>Igor Bukhman</t>
  </si>
  <si>
    <t>Jack Dangermond</t>
  </si>
  <si>
    <t>Redlands</t>
  </si>
  <si>
    <t>Ashwin Dani &amp; family</t>
  </si>
  <si>
    <t>Ralph Lauren</t>
  </si>
  <si>
    <t>Rohiqa Cyrus Mistry</t>
  </si>
  <si>
    <t>Shapoor Mistry</t>
  </si>
  <si>
    <t>J. Christopher Reyes</t>
  </si>
  <si>
    <t>Hobe Sound</t>
  </si>
  <si>
    <t>Jude Reyes</t>
  </si>
  <si>
    <t>Don Vultaggio &amp; family</t>
  </si>
  <si>
    <t>Port Washington</t>
  </si>
  <si>
    <t>Edythe Broad &amp; family</t>
  </si>
  <si>
    <t>Pauline MacMillan Keinath</t>
  </si>
  <si>
    <t>St. Louis</t>
  </si>
  <si>
    <t>Philippe Laffont</t>
  </si>
  <si>
    <t>Liu Jincheng &amp; family</t>
  </si>
  <si>
    <t>Huizhou</t>
  </si>
  <si>
    <t>Igor Olenicoff</t>
  </si>
  <si>
    <t>Lighthouse Point</t>
  </si>
  <si>
    <t>Sandra Ortega Mera</t>
  </si>
  <si>
    <t>Ronda Stryker</t>
  </si>
  <si>
    <t>Portage</t>
  </si>
  <si>
    <t>Dannine Avara</t>
  </si>
  <si>
    <t>Silvio Berlusconi &amp; family</t>
  </si>
  <si>
    <t>Denise Coates</t>
  </si>
  <si>
    <t>Stoke-on-Trent</t>
  </si>
  <si>
    <t>Scott Duncan</t>
  </si>
  <si>
    <t>Milane Frantz</t>
  </si>
  <si>
    <t>Edward Johnson, IV.</t>
  </si>
  <si>
    <t>Boston</t>
  </si>
  <si>
    <t>Yuri Milner</t>
  </si>
  <si>
    <t>Gordon Moore</t>
  </si>
  <si>
    <t>John Overdeck</t>
  </si>
  <si>
    <t>Millburn</t>
  </si>
  <si>
    <t>David Siegel</t>
  </si>
  <si>
    <t>Scarsdale</t>
  </si>
  <si>
    <t>Viktor Vekselberg</t>
  </si>
  <si>
    <t>Wang Laisheng</t>
  </si>
  <si>
    <t>Randa Duncan Williams</t>
  </si>
  <si>
    <t>Ken Fisher</t>
  </si>
  <si>
    <t>Christopher Hohn</t>
  </si>
  <si>
    <t>Kjeld Kirk Kristiansen</t>
  </si>
  <si>
    <t>Billund</t>
  </si>
  <si>
    <t>Sofie Kirk Kristiansen</t>
  </si>
  <si>
    <t>Thomas Kirk Kristiansen</t>
  </si>
  <si>
    <t>Massimiliana Landini Aleotti &amp; family</t>
  </si>
  <si>
    <t>Fiesole</t>
  </si>
  <si>
    <t>Li Ping</t>
  </si>
  <si>
    <t>Lin Jianhua</t>
  </si>
  <si>
    <t>Magdalena Martullo-Blocher</t>
  </si>
  <si>
    <t>Feldmeilen</t>
  </si>
  <si>
    <t>Xavier Niel</t>
  </si>
  <si>
    <t>Terrence Pegula</t>
  </si>
  <si>
    <t>Boca Raton</t>
  </si>
  <si>
    <t>Edward Roski, Jr.</t>
  </si>
  <si>
    <t>John A. Sobrato &amp; family</t>
  </si>
  <si>
    <t>George Soros</t>
  </si>
  <si>
    <t>Katonah</t>
  </si>
  <si>
    <t>David Sun</t>
  </si>
  <si>
    <t>Irvine</t>
  </si>
  <si>
    <t>Agnete Kirk Thinggaard</t>
  </si>
  <si>
    <t>John Tu</t>
  </si>
  <si>
    <t>Rolling Hills</t>
  </si>
  <si>
    <t>Xu Shihui</t>
  </si>
  <si>
    <t>Rahel Blocher</t>
  </si>
  <si>
    <t>Wilen bei Wollerau</t>
  </si>
  <si>
    <t>Bubba Cathy</t>
  </si>
  <si>
    <t>Dan Cathy</t>
  </si>
  <si>
    <t>Trudy Cathy White</t>
  </si>
  <si>
    <t>Hampton</t>
  </si>
  <si>
    <t>Bruce Kovner</t>
  </si>
  <si>
    <t>Henry Nicholas, III.</t>
  </si>
  <si>
    <t>Newport Coast</t>
  </si>
  <si>
    <t>Nadia Thiele</t>
  </si>
  <si>
    <t>Munich</t>
  </si>
  <si>
    <t>David Bonderman</t>
  </si>
  <si>
    <t>Melinda French Gates</t>
  </si>
  <si>
    <t>Annette Lerner &amp; family</t>
  </si>
  <si>
    <t>Chevy Chase</t>
  </si>
  <si>
    <t>David Reuben</t>
  </si>
  <si>
    <t>Radovan Vitek</t>
  </si>
  <si>
    <t>Crans Montana</t>
  </si>
  <si>
    <t>Carl Bennet</t>
  </si>
  <si>
    <t>Gothenberg</t>
  </si>
  <si>
    <t>Stephen Bisciotti</t>
  </si>
  <si>
    <t>Stanley Druckenmiller</t>
  </si>
  <si>
    <t>Jian Jun</t>
  </si>
  <si>
    <t>Alexei Kuzmichev</t>
  </si>
  <si>
    <t>Luis Carlos Sarmiento</t>
  </si>
  <si>
    <t>Colombia</t>
  </si>
  <si>
    <t>Bogota</t>
  </si>
  <si>
    <t>Dennis Washington</t>
  </si>
  <si>
    <t>Missoula</t>
  </si>
  <si>
    <t>Anthony Bamford &amp; family</t>
  </si>
  <si>
    <t>Gao Jifan &amp; family</t>
  </si>
  <si>
    <t>John Grayken</t>
  </si>
  <si>
    <t>Alain Merieux &amp; family</t>
  </si>
  <si>
    <t>Lyon</t>
  </si>
  <si>
    <t>Wang Yusuo &amp; family</t>
  </si>
  <si>
    <t>Langfang</t>
  </si>
  <si>
    <t>Stef Wertheimer &amp; family</t>
  </si>
  <si>
    <t>Tel Aviv</t>
  </si>
  <si>
    <t>Maria Asuncion Aramburuzabala &amp; family</t>
  </si>
  <si>
    <t>Gustaf Douglas</t>
  </si>
  <si>
    <t>Frits Goldschmeding</t>
  </si>
  <si>
    <t>Netherlands</t>
  </si>
  <si>
    <t>Amsterdam</t>
  </si>
  <si>
    <t>Lin Muqin &amp; family</t>
  </si>
  <si>
    <t>Ruan Liping</t>
  </si>
  <si>
    <t>Ruan Xueping</t>
  </si>
  <si>
    <t>Michal Solowow</t>
  </si>
  <si>
    <t>Poland</t>
  </si>
  <si>
    <t>Kielce</t>
  </si>
  <si>
    <t>Mike Adenuga</t>
  </si>
  <si>
    <t>Tom Gores</t>
  </si>
  <si>
    <t>Michael Herz</t>
  </si>
  <si>
    <t>Wolfgang Herz</t>
  </si>
  <si>
    <t>Alexander Abramov</t>
  </si>
  <si>
    <t>Neil Bluhm</t>
  </si>
  <si>
    <t>Alain Bouchard</t>
  </si>
  <si>
    <t>Montreal</t>
  </si>
  <si>
    <t>Jay Chaudhry</t>
  </si>
  <si>
    <t>Reno</t>
  </si>
  <si>
    <t>Gopikishan Damani</t>
  </si>
  <si>
    <t>Sumet Jiaravanon</t>
  </si>
  <si>
    <t>Frank Lowy</t>
  </si>
  <si>
    <t>Michael Milken</t>
  </si>
  <si>
    <t>David Steward</t>
  </si>
  <si>
    <t>Les Wexner &amp; family</t>
  </si>
  <si>
    <t>New Albany</t>
  </si>
  <si>
    <t>Cai Kui</t>
  </si>
  <si>
    <t>Jaran Chiaravanont</t>
  </si>
  <si>
    <t>Andreas Halvorsen</t>
  </si>
  <si>
    <t>Darien</t>
  </si>
  <si>
    <t>Antony Ressler</t>
  </si>
  <si>
    <t>Tsai Eng-meng</t>
  </si>
  <si>
    <t>Josh Harris</t>
  </si>
  <si>
    <t>Niels Peter Louis-Hansen</t>
  </si>
  <si>
    <t>Humlebaek</t>
  </si>
  <si>
    <t>Patrick Soon-Shiong</t>
  </si>
  <si>
    <t>Rinat Akhmetov</t>
  </si>
  <si>
    <t>Ukraine</t>
  </si>
  <si>
    <t>Donetsk</t>
  </si>
  <si>
    <t>John Brown</t>
  </si>
  <si>
    <t>Arthur Irving</t>
  </si>
  <si>
    <t>Saint John</t>
  </si>
  <si>
    <t>Fredrik Lundberg</t>
  </si>
  <si>
    <t>Thomas Schmidheiny</t>
  </si>
  <si>
    <t>Jona</t>
  </si>
  <si>
    <t>Daniel Ziff</t>
  </si>
  <si>
    <t>Dirk Ziff</t>
  </si>
  <si>
    <t>North Palm Beach</t>
  </si>
  <si>
    <t>Robert Ziff</t>
  </si>
  <si>
    <t>Ray Lee Hunt</t>
  </si>
  <si>
    <t>Lai Meisong</t>
  </si>
  <si>
    <t>Vikram Lal &amp; family</t>
  </si>
  <si>
    <t>Ken Langone</t>
  </si>
  <si>
    <t>Sands Point</t>
  </si>
  <si>
    <t>Li Ge</t>
  </si>
  <si>
    <t>Karen Pritzker</t>
  </si>
  <si>
    <t>Branford</t>
  </si>
  <si>
    <t>Robert Rowling</t>
  </si>
  <si>
    <t>Teddy Sagi</t>
  </si>
  <si>
    <t>Seo Jung-jin</t>
  </si>
  <si>
    <t>Wu Jianshu</t>
  </si>
  <si>
    <t>Micky Arison</t>
  </si>
  <si>
    <t>Bal Harbour</t>
  </si>
  <si>
    <t>James Chambers</t>
  </si>
  <si>
    <t>Palisades</t>
  </si>
  <si>
    <t>John Collison</t>
  </si>
  <si>
    <t>Patrick Collison</t>
  </si>
  <si>
    <t>Archie Aldis Emmerson &amp; family</t>
  </si>
  <si>
    <t>Redding</t>
  </si>
  <si>
    <t>Piero Ferrari</t>
  </si>
  <si>
    <t>Modena</t>
  </si>
  <si>
    <t>Dan Friedkin</t>
  </si>
  <si>
    <t>James Irving</t>
  </si>
  <si>
    <t>Jiang Weiping &amp; family</t>
  </si>
  <si>
    <t>Wolfgang Marguerre &amp; family</t>
  </si>
  <si>
    <t>Ludwig Merckle</t>
  </si>
  <si>
    <t>Ulm</t>
  </si>
  <si>
    <t>Mitchell Rales</t>
  </si>
  <si>
    <t>Potomac</t>
  </si>
  <si>
    <t>Katharine Rayner</t>
  </si>
  <si>
    <t>East Hampton</t>
  </si>
  <si>
    <t>Paul Singer</t>
  </si>
  <si>
    <t>Sergio Stevanato &amp; family</t>
  </si>
  <si>
    <t>Venice</t>
  </si>
  <si>
    <t>Margaretta Taylor</t>
  </si>
  <si>
    <t>Southampton</t>
  </si>
  <si>
    <t>Richard White</t>
  </si>
  <si>
    <t>Zhao Yan</t>
  </si>
  <si>
    <t>Patrizio Bertelli</t>
  </si>
  <si>
    <t>Mahendra Choksi &amp; family</t>
  </si>
  <si>
    <t>Mat Ishbia</t>
  </si>
  <si>
    <t>Bloomfield Hills</t>
  </si>
  <si>
    <t>Leo Koguan</t>
  </si>
  <si>
    <t>Miao Hangen</t>
  </si>
  <si>
    <t>Suzhou</t>
  </si>
  <si>
    <t>Michael Pieper</t>
  </si>
  <si>
    <t>Lucerne</t>
  </si>
  <si>
    <t>Miuccia Prada</t>
  </si>
  <si>
    <t>Wolfgang Reimann</t>
  </si>
  <si>
    <t>Passau</t>
  </si>
  <si>
    <t>Matthias Reimann-Andersen</t>
  </si>
  <si>
    <t>Stefan Reimann-Andersen</t>
  </si>
  <si>
    <t>Renate Reimann-Haas</t>
  </si>
  <si>
    <t>Todd Boehly</t>
  </si>
  <si>
    <t>Rick Caruso</t>
  </si>
  <si>
    <t>Ibrahim Erdemoglu</t>
  </si>
  <si>
    <t>Turkey</t>
  </si>
  <si>
    <t>Istanbul</t>
  </si>
  <si>
    <t>Elizabeth Johnson</t>
  </si>
  <si>
    <t>Douglas Leone</t>
  </si>
  <si>
    <t>Prajogo Pangestu</t>
  </si>
  <si>
    <t>Thomas Pritzker</t>
  </si>
  <si>
    <t>Lynda Resnick</t>
  </si>
  <si>
    <t>Stewart Resnick</t>
  </si>
  <si>
    <t>Gary Rollins</t>
  </si>
  <si>
    <t>Mark Walter</t>
  </si>
  <si>
    <t>Ronald Wanek</t>
  </si>
  <si>
    <t>Saint Petersburg</t>
  </si>
  <si>
    <t>Erich Wesjohann &amp; family</t>
  </si>
  <si>
    <t>Visbek</t>
  </si>
  <si>
    <t>M.A. Yusuff Ali</t>
  </si>
  <si>
    <t>Country</t>
  </si>
  <si>
    <t>Quantity(Stp)</t>
  </si>
  <si>
    <t>Rate(Stp)</t>
  </si>
  <si>
    <t>Medicine Name</t>
  </si>
  <si>
    <t>Paracetamol</t>
  </si>
  <si>
    <t>East</t>
  </si>
  <si>
    <t>June</t>
  </si>
  <si>
    <t>Fluconazole</t>
  </si>
  <si>
    <t>West</t>
  </si>
  <si>
    <t>February</t>
  </si>
  <si>
    <t>Metformin</t>
  </si>
  <si>
    <t>North</t>
  </si>
  <si>
    <t>October</t>
  </si>
  <si>
    <t>Diclofenac</t>
  </si>
  <si>
    <t>South</t>
  </si>
  <si>
    <t>September</t>
  </si>
  <si>
    <t>Dolo</t>
  </si>
  <si>
    <t>April</t>
  </si>
  <si>
    <t>Sumo</t>
  </si>
  <si>
    <t>May</t>
  </si>
  <si>
    <t>December</t>
  </si>
  <si>
    <t>Centirizin</t>
  </si>
  <si>
    <t>August</t>
  </si>
  <si>
    <t>Calpol</t>
  </si>
  <si>
    <t>July</t>
  </si>
  <si>
    <t>Lbuprofen</t>
  </si>
  <si>
    <t>January</t>
  </si>
  <si>
    <t>Azithroycin</t>
  </si>
  <si>
    <t>Amoxicillin</t>
  </si>
  <si>
    <t>Omeprazole</t>
  </si>
  <si>
    <t>March</t>
  </si>
  <si>
    <t>November</t>
  </si>
  <si>
    <t>Amount</t>
  </si>
  <si>
    <t>Row Labels</t>
  </si>
  <si>
    <t>Sum of Quantity(Stp)</t>
  </si>
  <si>
    <t>Sum of Amount</t>
  </si>
  <si>
    <t>Grand Total</t>
  </si>
  <si>
    <t>Cash/Online</t>
  </si>
  <si>
    <t>Online</t>
  </si>
  <si>
    <t>Cash</t>
  </si>
  <si>
    <t>Total</t>
  </si>
  <si>
    <t>Count of Customer Name</t>
  </si>
  <si>
    <t>Total Revenue</t>
  </si>
  <si>
    <t>Revenue</t>
  </si>
  <si>
    <t>Medicine Name Wise Selling</t>
  </si>
  <si>
    <t>Medicine zone wise sale</t>
  </si>
  <si>
    <t>Medicine City wise sales</t>
  </si>
  <si>
    <t>Transaction ol/cash</t>
  </si>
  <si>
    <t>Month wise sale</t>
  </si>
  <si>
    <t>No. of customer</t>
  </si>
  <si>
    <t>calpol</t>
  </si>
  <si>
    <t>Medicine Sales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</si>
</sst>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charset val="1"/>
      <scheme val="minor"/>
    </font>
    <font>
      <sz val="18"/>
      <color theme="1"/>
      <name val="Calibri"/>
      <family val="2"/>
      <charset val="1"/>
      <scheme val="minor"/>
    </font>
    <font>
      <sz val="11"/>
      <color theme="1"/>
      <name val="Calibri"/>
      <family val="2"/>
      <scheme val="minor"/>
    </font>
    <font>
      <sz val="18"/>
      <color theme="1"/>
      <name val="Calibri"/>
      <family val="2"/>
      <scheme val="minor"/>
    </font>
    <font>
      <b/>
      <sz val="11"/>
      <color theme="1"/>
      <name val="Calibri"/>
      <family val="2"/>
      <scheme val="minor"/>
    </font>
    <font>
      <sz val="11"/>
      <color rgb="FFFF0000"/>
      <name val="Calibri"/>
      <family val="2"/>
      <charset val="1"/>
      <scheme val="minor"/>
    </font>
    <font>
      <sz val="11"/>
      <color rgb="FFFF0000"/>
      <name val="Algerian"/>
      <family val="5"/>
    </font>
    <font>
      <sz val="14"/>
      <color theme="1"/>
      <name val="Berlin Sans FB Demi"/>
      <family val="2"/>
    </font>
    <font>
      <u/>
      <sz val="48"/>
      <color rgb="FFFF0000"/>
      <name val="Algerian"/>
      <family val="5"/>
    </font>
  </fonts>
  <fills count="6">
    <fill>
      <patternFill patternType="none"/>
    </fill>
    <fill>
      <patternFill patternType="gray125"/>
    </fill>
    <fill>
      <patternFill patternType="solid">
        <fgColor rgb="FFFFC000"/>
        <bgColor indexed="64"/>
      </patternFill>
    </fill>
    <fill>
      <patternFill patternType="solid">
        <fgColor theme="1"/>
        <bgColor indexed="64"/>
      </patternFill>
    </fill>
    <fill>
      <patternFill patternType="solid">
        <fgColor theme="8" tint="0.39997558519241921"/>
        <bgColor indexed="64"/>
      </patternFill>
    </fill>
    <fill>
      <patternFill patternType="solid">
        <fgColor theme="0"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s>
  <cellStyleXfs count="1">
    <xf numFmtId="0" fontId="0" fillId="0" borderId="0"/>
  </cellStyleXfs>
  <cellXfs count="29">
    <xf numFmtId="0" fontId="0" fillId="0" borderId="0" xfId="0"/>
    <xf numFmtId="0" fontId="1" fillId="0" borderId="0" xfId="0" applyFont="1"/>
    <xf numFmtId="0" fontId="2" fillId="0" borderId="0" xfId="0" applyFont="1" applyBorder="1" applyAlignment="1">
      <alignment wrapText="1"/>
    </xf>
    <xf numFmtId="0" fontId="1" fillId="0" borderId="0" xfId="0" applyFont="1" applyBorder="1"/>
    <xf numFmtId="0" fontId="3" fillId="0" borderId="2" xfId="0" applyFont="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4" borderId="0" xfId="0" applyFill="1"/>
    <xf numFmtId="0" fontId="4" fillId="0" borderId="0" xfId="0" applyFont="1"/>
    <xf numFmtId="0" fontId="1" fillId="0" borderId="0" xfId="0" applyFont="1" applyFill="1" applyBorder="1"/>
    <xf numFmtId="0" fontId="1" fillId="0" borderId="1" xfId="0" applyFont="1" applyBorder="1"/>
    <xf numFmtId="0" fontId="1" fillId="0" borderId="7" xfId="0" applyFont="1" applyBorder="1"/>
    <xf numFmtId="0" fontId="1" fillId="0" borderId="8" xfId="0" applyFont="1" applyBorder="1"/>
    <xf numFmtId="0" fontId="1" fillId="0" borderId="6"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3" fillId="0" borderId="1" xfId="0" applyFont="1" applyBorder="1" applyAlignment="1">
      <alignment horizontal="center" wrapText="1"/>
    </xf>
    <xf numFmtId="0" fontId="1" fillId="2" borderId="6" xfId="0" applyFont="1" applyFill="1" applyBorder="1"/>
    <xf numFmtId="0" fontId="1" fillId="0" borderId="9" xfId="0" applyFont="1" applyBorder="1"/>
    <xf numFmtId="0" fontId="1" fillId="2" borderId="7" xfId="0" applyFont="1" applyFill="1" applyBorder="1"/>
    <xf numFmtId="0" fontId="1" fillId="2" borderId="8" xfId="0" applyFont="1" applyFill="1" applyBorder="1"/>
    <xf numFmtId="0" fontId="1" fillId="0" borderId="10" xfId="0" applyFont="1" applyBorder="1"/>
    <xf numFmtId="0" fontId="1" fillId="5" borderId="1" xfId="0" applyFont="1" applyFill="1" applyBorder="1"/>
    <xf numFmtId="0" fontId="7" fillId="0" borderId="0" xfId="0" applyFont="1"/>
    <xf numFmtId="0" fontId="6" fillId="3" borderId="0" xfId="0" applyFont="1" applyFill="1" applyAlignment="1">
      <alignment horizontal="center" vertical="center"/>
    </xf>
    <xf numFmtId="0" fontId="5" fillId="3" borderId="0" xfId="0" applyFont="1" applyFill="1" applyAlignment="1">
      <alignment horizontal="center" vertical="center"/>
    </xf>
    <xf numFmtId="0" fontId="8"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 data (project Final).xlsx]Pivot Tables!PivotTable7</c:name>
    <c:fmtId val="4"/>
  </c:pivotSource>
  <c:chart>
    <c:title>
      <c:tx>
        <c:rich>
          <a:bodyPr/>
          <a:lstStyle/>
          <a:p>
            <a:pPr>
              <a:defRPr>
                <a:latin typeface="Berlin Sans FB Demi" panose="020E0802020502020306" pitchFamily="34" charset="0"/>
              </a:defRPr>
            </a:pPr>
            <a:r>
              <a:rPr lang="en-US" sz="1800" b="1" i="0" baseline="0">
                <a:effectLst/>
              </a:rPr>
              <a:t>Country Wise Sales Report</a:t>
            </a:r>
            <a:endParaRPr lang="en-IN">
              <a:effectLst/>
            </a:endParaRPr>
          </a:p>
        </c:rich>
      </c:tx>
      <c:layout>
        <c:manualLayout>
          <c:xMode val="edge"/>
          <c:yMode val="edge"/>
          <c:x val="0.55782337813833882"/>
          <c:y val="6.733953710331665E-3"/>
        </c:manualLayout>
      </c:layout>
      <c:overlay val="0"/>
      <c:spPr>
        <a:solidFill>
          <a:srgbClr val="FF0000"/>
        </a:solidFill>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marker>
          <c:symbol val="none"/>
        </c:marker>
      </c:pivotFmt>
      <c:pivotFmt>
        <c:idx val="43"/>
        <c:marker>
          <c:symbol val="none"/>
        </c:marker>
      </c:pivotFmt>
      <c:pivotFmt>
        <c:idx val="44"/>
        <c:marker>
          <c:symbol val="none"/>
        </c:marker>
      </c:pivotFmt>
      <c:pivotFmt>
        <c:idx val="45"/>
        <c:marker>
          <c:symbol val="none"/>
        </c:marker>
      </c:pivotFmt>
      <c:pivotFmt>
        <c:idx val="46"/>
        <c:marker>
          <c:symbol val="none"/>
        </c:marker>
      </c:pivotFmt>
      <c:pivotFmt>
        <c:idx val="47"/>
        <c:marker>
          <c:symbol val="none"/>
        </c:marker>
      </c:pivotFmt>
      <c:pivotFmt>
        <c:idx val="48"/>
        <c:marker>
          <c:symbol val="none"/>
        </c:marker>
      </c:pivotFmt>
      <c:pivotFmt>
        <c:idx val="49"/>
        <c:marker>
          <c:symbol val="none"/>
        </c:marker>
      </c:pivotFmt>
      <c:pivotFmt>
        <c:idx val="50"/>
        <c:marker>
          <c:symbol val="none"/>
        </c:marker>
      </c:pivotFmt>
      <c:pivotFmt>
        <c:idx val="51"/>
        <c:marker>
          <c:symbol val="none"/>
        </c:marker>
      </c:pivotFmt>
      <c:pivotFmt>
        <c:idx val="52"/>
        <c:marker>
          <c:symbol val="none"/>
        </c:marker>
      </c:pivotFmt>
    </c:pivotFmts>
    <c:plotArea>
      <c:layout/>
      <c:barChart>
        <c:barDir val="col"/>
        <c:grouping val="clustered"/>
        <c:varyColors val="0"/>
        <c:ser>
          <c:idx val="0"/>
          <c:order val="0"/>
          <c:tx>
            <c:strRef>
              <c:f>'Pivot Tables'!$B$5</c:f>
              <c:strCache>
                <c:ptCount val="1"/>
                <c:pt idx="0">
                  <c:v>Total</c:v>
                </c:pt>
              </c:strCache>
            </c:strRef>
          </c:tx>
          <c:invertIfNegative val="0"/>
          <c:cat>
            <c:strRef>
              <c:f>'Pivot Tables'!$A$6:$A$17</c:f>
              <c:strCache>
                <c:ptCount val="11"/>
                <c:pt idx="0">
                  <c:v>Amoxicillin</c:v>
                </c:pt>
                <c:pt idx="1">
                  <c:v>Azithroycin</c:v>
                </c:pt>
                <c:pt idx="2">
                  <c:v>Calpol</c:v>
                </c:pt>
                <c:pt idx="3">
                  <c:v>Centirizin</c:v>
                </c:pt>
                <c:pt idx="4">
                  <c:v>Diclofenac</c:v>
                </c:pt>
                <c:pt idx="5">
                  <c:v>Dolo</c:v>
                </c:pt>
                <c:pt idx="6">
                  <c:v>Fluconazole</c:v>
                </c:pt>
                <c:pt idx="7">
                  <c:v>Lbuprofen</c:v>
                </c:pt>
                <c:pt idx="8">
                  <c:v>Metformin</c:v>
                </c:pt>
                <c:pt idx="9">
                  <c:v>Paracetamol</c:v>
                </c:pt>
                <c:pt idx="10">
                  <c:v>Sumo</c:v>
                </c:pt>
              </c:strCache>
            </c:strRef>
          </c:cat>
          <c:val>
            <c:numRef>
              <c:f>'Pivot Tables'!$B$6:$B$17</c:f>
              <c:numCache>
                <c:formatCode>General</c:formatCode>
                <c:ptCount val="11"/>
                <c:pt idx="0">
                  <c:v>16310000</c:v>
                </c:pt>
                <c:pt idx="1">
                  <c:v>3823950</c:v>
                </c:pt>
                <c:pt idx="2">
                  <c:v>30571200</c:v>
                </c:pt>
                <c:pt idx="3">
                  <c:v>712500</c:v>
                </c:pt>
                <c:pt idx="4">
                  <c:v>27102000</c:v>
                </c:pt>
                <c:pt idx="5">
                  <c:v>848700</c:v>
                </c:pt>
                <c:pt idx="6">
                  <c:v>4965600</c:v>
                </c:pt>
                <c:pt idx="7">
                  <c:v>2171000</c:v>
                </c:pt>
                <c:pt idx="8">
                  <c:v>5070100</c:v>
                </c:pt>
                <c:pt idx="9">
                  <c:v>10940050</c:v>
                </c:pt>
                <c:pt idx="10">
                  <c:v>17807000</c:v>
                </c:pt>
              </c:numCache>
            </c:numRef>
          </c:val>
          <c:extLst xmlns:c16r2="http://schemas.microsoft.com/office/drawing/2015/06/chart">
            <c:ext xmlns:c16="http://schemas.microsoft.com/office/drawing/2014/chart" uri="{C3380CC4-5D6E-409C-BE32-E72D297353CC}">
              <c16:uniqueId val="{00000004-615F-4809-96B2-A6E87CAE8FC1}"/>
            </c:ext>
          </c:extLst>
        </c:ser>
        <c:dLbls>
          <c:showLegendKey val="0"/>
          <c:showVal val="0"/>
          <c:showCatName val="0"/>
          <c:showSerName val="0"/>
          <c:showPercent val="0"/>
          <c:showBubbleSize val="0"/>
        </c:dLbls>
        <c:gapWidth val="150"/>
        <c:axId val="933428480"/>
        <c:axId val="933439904"/>
      </c:barChart>
      <c:catAx>
        <c:axId val="933428480"/>
        <c:scaling>
          <c:orientation val="minMax"/>
        </c:scaling>
        <c:delete val="0"/>
        <c:axPos val="b"/>
        <c:numFmt formatCode="General" sourceLinked="0"/>
        <c:majorTickMark val="out"/>
        <c:minorTickMark val="none"/>
        <c:tickLblPos val="nextTo"/>
        <c:crossAx val="933439904"/>
        <c:crosses val="autoZero"/>
        <c:auto val="1"/>
        <c:lblAlgn val="ctr"/>
        <c:lblOffset val="100"/>
        <c:noMultiLvlLbl val="0"/>
      </c:catAx>
      <c:valAx>
        <c:axId val="933439904"/>
        <c:scaling>
          <c:orientation val="minMax"/>
        </c:scaling>
        <c:delete val="0"/>
        <c:axPos val="l"/>
        <c:majorGridlines/>
        <c:numFmt formatCode="General" sourceLinked="1"/>
        <c:majorTickMark val="out"/>
        <c:minorTickMark val="none"/>
        <c:tickLblPos val="nextTo"/>
        <c:crossAx val="933428480"/>
        <c:crosses val="autoZero"/>
        <c:crossBetween val="between"/>
      </c:valAx>
    </c:plotArea>
    <c:legend>
      <c:legendPos val="r"/>
      <c:layout/>
      <c:overlay val="0"/>
    </c:legend>
    <c:plotVisOnly val="1"/>
    <c:dispBlanksAs val="gap"/>
    <c:showDLblsOverMax val="0"/>
  </c:chart>
  <c:spPr>
    <a:solidFill>
      <a:schemeClr val="dk1"/>
    </a:solidFill>
    <a:ln w="25400" cap="flat" cmpd="sng" algn="ctr">
      <a:solidFill>
        <a:schemeClr val="dk1">
          <a:shade val="50000"/>
        </a:schemeClr>
      </a:solidFill>
      <a:prstDash val="solid"/>
    </a:ln>
    <a:effectLst/>
  </c:spPr>
  <c:txPr>
    <a:bodyPr/>
    <a:lstStyle/>
    <a:p>
      <a:pPr>
        <a:defRPr>
          <a:solidFill>
            <a:schemeClr val="lt1"/>
          </a:solidFill>
          <a:latin typeface="+mn-lt"/>
          <a:ea typeface="+mn-ea"/>
          <a:cs typeface="+mn-cs"/>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 data (project Final).xlsx]Pivot Tables!PivotTable8</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rgbClr val="FF0000"/>
                </a:solidFill>
                <a:latin typeface="Berlin Sans FB Demi" panose="020E0802020502020306" pitchFamily="34" charset="0"/>
                <a:ea typeface="+mn-ea"/>
                <a:cs typeface="+mn-cs"/>
              </a:defRPr>
            </a:pPr>
            <a:r>
              <a:rPr lang="en-US" sz="1800" b="1" i="0" cap="all" baseline="0">
                <a:effectLst/>
              </a:rPr>
              <a:t>Medicine Quantity Percentage </a:t>
            </a:r>
            <a:endParaRPr lang="en-IN">
              <a:effectLst/>
            </a:endParaRPr>
          </a:p>
        </c:rich>
      </c:tx>
      <c:layout>
        <c:manualLayout>
          <c:xMode val="edge"/>
          <c:yMode val="edge"/>
          <c:x val="0.18666666666666668"/>
          <c:y val="1.8018018018018018E-2"/>
        </c:manualLayout>
      </c:layout>
      <c:overlay val="0"/>
      <c:spPr>
        <a:solidFill>
          <a:schemeClr val="tx1"/>
        </a:solidFill>
        <a:ln>
          <a:noFill/>
        </a:ln>
        <a:effectLst/>
      </c:spPr>
    </c:title>
    <c:autoTitleDeleted val="0"/>
    <c:pivotFmts>
      <c:pivotFmt>
        <c:idx val="0"/>
      </c:pivotFmt>
      <c:pivotFmt>
        <c:idx val="1"/>
      </c:pivotFmt>
      <c:pivotFmt>
        <c:idx val="2"/>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
        <c:dLbl>
          <c:idx val="0"/>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Tables'!$B$24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5-E542-45F6-ABC3-B9B8037D8BAF}"/>
              </c:ext>
            </c:extLst>
          </c:dPt>
          <c:dPt>
            <c:idx val="1"/>
            <c:bubble3D val="0"/>
            <c:extLst xmlns:c16r2="http://schemas.microsoft.com/office/drawing/2015/06/chart">
              <c:ext xmlns:c16="http://schemas.microsoft.com/office/drawing/2014/chart" uri="{C3380CC4-5D6E-409C-BE32-E72D297353CC}">
                <c16:uniqueId val="{00000007-E542-45F6-ABC3-B9B8037D8BAF}"/>
              </c:ext>
            </c:extLst>
          </c:dPt>
          <c:dPt>
            <c:idx val="2"/>
            <c:bubble3D val="0"/>
            <c:extLst xmlns:c16r2="http://schemas.microsoft.com/office/drawing/2015/06/chart">
              <c:ext xmlns:c16="http://schemas.microsoft.com/office/drawing/2014/chart" uri="{C3380CC4-5D6E-409C-BE32-E72D297353CC}">
                <c16:uniqueId val="{00000009-E542-45F6-ABC3-B9B8037D8BAF}"/>
              </c:ext>
            </c:extLst>
          </c:dPt>
          <c:dPt>
            <c:idx val="3"/>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B-E542-45F6-ABC3-B9B8037D8BAF}"/>
              </c:ext>
            </c:extLst>
          </c:dPt>
          <c:dPt>
            <c:idx val="4"/>
            <c:bubble3D val="0"/>
            <c:extLst xmlns:c16r2="http://schemas.microsoft.com/office/drawing/2015/06/chart">
              <c:ext xmlns:c16="http://schemas.microsoft.com/office/drawing/2014/chart" uri="{C3380CC4-5D6E-409C-BE32-E72D297353CC}">
                <c16:uniqueId val="{0000000D-E542-45F6-ABC3-B9B8037D8BAF}"/>
              </c:ext>
            </c:extLst>
          </c:dPt>
          <c:dPt>
            <c:idx val="5"/>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0F-E542-45F6-ABC3-B9B8037D8BAF}"/>
              </c:ext>
            </c:extLst>
          </c:dPt>
          <c:dPt>
            <c:idx val="6"/>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11-E542-45F6-ABC3-B9B8037D8BAF}"/>
              </c:ext>
            </c:extLst>
          </c:dPt>
          <c:dPt>
            <c:idx val="7"/>
            <c:bubble3D val="0"/>
            <c:extLst xmlns:c16r2="http://schemas.microsoft.com/office/drawing/2015/06/chart">
              <c:ext xmlns:c16="http://schemas.microsoft.com/office/drawing/2014/chart" uri="{C3380CC4-5D6E-409C-BE32-E72D297353CC}">
                <c16:uniqueId val="{00000013-E542-45F6-ABC3-B9B8037D8BAF}"/>
              </c:ext>
            </c:extLst>
          </c:dPt>
          <c:dPt>
            <c:idx val="8"/>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15-E542-45F6-ABC3-B9B8037D8BAF}"/>
              </c:ext>
            </c:extLst>
          </c:dPt>
          <c:dPt>
            <c:idx val="9"/>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xmlns:c16r2="http://schemas.microsoft.com/office/drawing/2015/06/chart">
              <c:ext xmlns:c16="http://schemas.microsoft.com/office/drawing/2014/chart" uri="{C3380CC4-5D6E-409C-BE32-E72D297353CC}">
                <c16:uniqueId val="{00000017-E542-45F6-ABC3-B9B8037D8BAF}"/>
              </c:ext>
            </c:extLst>
          </c:dPt>
          <c:dPt>
            <c:idx val="10"/>
            <c:bubble3D val="0"/>
            <c:extLst xmlns:c16r2="http://schemas.microsoft.com/office/drawing/2015/06/chart">
              <c:ext xmlns:c16="http://schemas.microsoft.com/office/drawing/2014/chart" uri="{C3380CC4-5D6E-409C-BE32-E72D297353CC}">
                <c16:uniqueId val="{00000019-E542-45F6-ABC3-B9B8037D8BAF}"/>
              </c:ext>
            </c:extLst>
          </c:dPt>
          <c:dPt>
            <c:idx val="11"/>
            <c:bubble3D val="0"/>
            <c:extLst xmlns:c16r2="http://schemas.microsoft.com/office/drawing/2015/06/chart">
              <c:ext xmlns:c16="http://schemas.microsoft.com/office/drawing/2014/chart" uri="{C3380CC4-5D6E-409C-BE32-E72D297353CC}">
                <c16:uniqueId val="{0000001B-E542-45F6-ABC3-B9B8037D8B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Tables'!$A$25:$A$36</c:f>
              <c:strCache>
                <c:ptCount val="11"/>
                <c:pt idx="0">
                  <c:v>Amoxicillin</c:v>
                </c:pt>
                <c:pt idx="1">
                  <c:v>Azithroycin</c:v>
                </c:pt>
                <c:pt idx="2">
                  <c:v>Calpol</c:v>
                </c:pt>
                <c:pt idx="3">
                  <c:v>Centirizin</c:v>
                </c:pt>
                <c:pt idx="4">
                  <c:v>Diclofenac</c:v>
                </c:pt>
                <c:pt idx="5">
                  <c:v>Dolo</c:v>
                </c:pt>
                <c:pt idx="6">
                  <c:v>Fluconazole</c:v>
                </c:pt>
                <c:pt idx="7">
                  <c:v>Lbuprofen</c:v>
                </c:pt>
                <c:pt idx="8">
                  <c:v>Metformin</c:v>
                </c:pt>
                <c:pt idx="9">
                  <c:v>Paracetamol</c:v>
                </c:pt>
                <c:pt idx="10">
                  <c:v>Sumo</c:v>
                </c:pt>
              </c:strCache>
            </c:strRef>
          </c:cat>
          <c:val>
            <c:numRef>
              <c:f>'Pivot Tables'!$B$25:$B$36</c:f>
              <c:numCache>
                <c:formatCode>General</c:formatCode>
                <c:ptCount val="11"/>
                <c:pt idx="0">
                  <c:v>8155</c:v>
                </c:pt>
                <c:pt idx="1">
                  <c:v>5883</c:v>
                </c:pt>
                <c:pt idx="2">
                  <c:v>19107</c:v>
                </c:pt>
                <c:pt idx="3">
                  <c:v>4750</c:v>
                </c:pt>
                <c:pt idx="4">
                  <c:v>18068</c:v>
                </c:pt>
                <c:pt idx="5">
                  <c:v>1886</c:v>
                </c:pt>
                <c:pt idx="6">
                  <c:v>6207</c:v>
                </c:pt>
                <c:pt idx="7">
                  <c:v>8684</c:v>
                </c:pt>
                <c:pt idx="8">
                  <c:v>7243</c:v>
                </c:pt>
                <c:pt idx="9">
                  <c:v>19891</c:v>
                </c:pt>
                <c:pt idx="10">
                  <c:v>17807</c:v>
                </c:pt>
              </c:numCache>
            </c:numRef>
          </c:val>
          <c:extLst xmlns:c16r2="http://schemas.microsoft.com/office/drawing/2015/06/chart">
            <c:ext xmlns:c16="http://schemas.microsoft.com/office/drawing/2014/chart" uri="{C3380CC4-5D6E-409C-BE32-E72D297353CC}">
              <c16:uniqueId val="{0000001C-E542-45F6-ABC3-B9B8037D8BAF}"/>
            </c:ext>
          </c:extLst>
        </c:ser>
        <c:dLbls>
          <c:showLegendKey val="0"/>
          <c:showVal val="0"/>
          <c:showCatName val="0"/>
          <c:showSerName val="0"/>
          <c:showPercent val="1"/>
          <c:showBubbleSize val="0"/>
          <c:showLeaderLines val="1"/>
        </c:dLbls>
        <c:firstSliceAng val="0"/>
        <c:holeSize val="50"/>
      </c:doughnutChart>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 data (project Final).xlsx]Pivot Tables!PivotTable10</c:name>
    <c:fmtId val="6"/>
  </c:pivotSource>
  <c:chart>
    <c:title>
      <c:tx>
        <c:rich>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r>
              <a:rPr lang="en-US" sz="1800" b="1" i="0" baseline="0">
                <a:solidFill>
                  <a:srgbClr val="FF0000"/>
                </a:solidFill>
                <a:effectLst>
                  <a:outerShdw blurRad="50800" dist="38100" dir="5400000" algn="t" rotWithShape="0">
                    <a:srgbClr val="000000">
                      <a:alpha val="40000"/>
                    </a:srgbClr>
                  </a:outerShdw>
                </a:effectLst>
                <a:latin typeface="Berlin Sans FB Demi" panose="020E0802020502020306" pitchFamily="34" charset="0"/>
              </a:rPr>
              <a:t>City Wise Sales Report</a:t>
            </a:r>
            <a:endParaRPr lang="en-IN">
              <a:solidFill>
                <a:srgbClr val="FF0000"/>
              </a:solidFill>
              <a:effectLst/>
              <a:latin typeface="Berlin Sans FB Demi" panose="020E0802020502020306" pitchFamily="34" charset="0"/>
            </a:endParaRPr>
          </a:p>
        </c:rich>
      </c:tx>
      <c:layout>
        <c:manualLayout>
          <c:xMode val="edge"/>
          <c:yMode val="edge"/>
          <c:x val="1.3202755905511815E-2"/>
          <c:y val="1.0299650043744528E-2"/>
        </c:manualLayout>
      </c:layout>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Tables'!$G$14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0B-6101-4BA4-8388-56F6A7AD034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0D-6101-4BA4-8388-56F6A7AD034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0F-6101-4BA4-8388-56F6A7AD034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11-6101-4BA4-8388-56F6A7AD034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13-6101-4BA4-8388-56F6A7AD034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15-6101-4BA4-8388-56F6A7AD0349}"/>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17-6101-4BA4-8388-56F6A7AD0349}"/>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19-6101-4BA4-8388-56F6A7AD0349}"/>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1B-6101-4BA4-8388-56F6A7AD0349}"/>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1D-6101-4BA4-8388-56F6A7AD0349}"/>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1F-6101-4BA4-8388-56F6A7AD0349}"/>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21-6101-4BA4-8388-56F6A7AD0349}"/>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23-6101-4BA4-8388-56F6A7AD0349}"/>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25-6101-4BA4-8388-56F6A7AD0349}"/>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27-6101-4BA4-8388-56F6A7AD0349}"/>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29-6101-4BA4-8388-56F6A7AD0349}"/>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2B-6101-4BA4-8388-56F6A7AD0349}"/>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2D-6101-4BA4-8388-56F6A7AD0349}"/>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2F-6101-4BA4-8388-56F6A7AD0349}"/>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31-6101-4BA4-8388-56F6A7AD0349}"/>
              </c:ext>
            </c:extLst>
          </c:dPt>
          <c:dPt>
            <c:idx val="20"/>
            <c:bubble3D val="0"/>
            <c:spPr>
              <a:gradFill rotWithShape="1">
                <a:gsLst>
                  <a:gs pos="0">
                    <a:schemeClr val="accent3">
                      <a:lumMod val="80000"/>
                      <a:shade val="51000"/>
                      <a:satMod val="130000"/>
                    </a:schemeClr>
                  </a:gs>
                  <a:gs pos="80000">
                    <a:schemeClr val="accent3">
                      <a:lumMod val="80000"/>
                      <a:shade val="93000"/>
                      <a:satMod val="130000"/>
                    </a:schemeClr>
                  </a:gs>
                  <a:gs pos="100000">
                    <a:schemeClr val="accent3">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33-6101-4BA4-8388-56F6A7AD0349}"/>
              </c:ext>
            </c:extLst>
          </c:dPt>
          <c:dPt>
            <c:idx val="21"/>
            <c:bubble3D val="0"/>
            <c:spPr>
              <a:gradFill rotWithShape="1">
                <a:gsLst>
                  <a:gs pos="0">
                    <a:schemeClr val="accent4">
                      <a:lumMod val="80000"/>
                      <a:shade val="51000"/>
                      <a:satMod val="130000"/>
                    </a:schemeClr>
                  </a:gs>
                  <a:gs pos="80000">
                    <a:schemeClr val="accent4">
                      <a:lumMod val="80000"/>
                      <a:shade val="93000"/>
                      <a:satMod val="130000"/>
                    </a:schemeClr>
                  </a:gs>
                  <a:gs pos="100000">
                    <a:schemeClr val="accent4">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35-6101-4BA4-8388-56F6A7AD0349}"/>
              </c:ext>
            </c:extLst>
          </c:dPt>
          <c:dPt>
            <c:idx val="22"/>
            <c:bubble3D val="0"/>
            <c:spPr>
              <a:gradFill rotWithShape="1">
                <a:gsLst>
                  <a:gs pos="0">
                    <a:schemeClr val="accent5">
                      <a:lumMod val="80000"/>
                      <a:shade val="51000"/>
                      <a:satMod val="130000"/>
                    </a:schemeClr>
                  </a:gs>
                  <a:gs pos="80000">
                    <a:schemeClr val="accent5">
                      <a:lumMod val="80000"/>
                      <a:shade val="93000"/>
                      <a:satMod val="130000"/>
                    </a:schemeClr>
                  </a:gs>
                  <a:gs pos="100000">
                    <a:schemeClr val="accent5">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37-6101-4BA4-8388-56F6A7AD0349}"/>
              </c:ext>
            </c:extLst>
          </c:dPt>
          <c:dPt>
            <c:idx val="23"/>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39-6101-4BA4-8388-56F6A7AD0349}"/>
              </c:ext>
            </c:extLst>
          </c:dPt>
          <c:dPt>
            <c:idx val="24"/>
            <c:bubble3D val="0"/>
            <c:spPr>
              <a:gradFill rotWithShape="1">
                <a:gsLst>
                  <a:gs pos="0">
                    <a:schemeClr val="accent1">
                      <a:lumMod val="60000"/>
                      <a:lumOff val="40000"/>
                      <a:shade val="51000"/>
                      <a:satMod val="130000"/>
                    </a:schemeClr>
                  </a:gs>
                  <a:gs pos="80000">
                    <a:schemeClr val="accent1">
                      <a:lumMod val="60000"/>
                      <a:lumOff val="40000"/>
                      <a:shade val="93000"/>
                      <a:satMod val="130000"/>
                    </a:schemeClr>
                  </a:gs>
                  <a:gs pos="100000">
                    <a:schemeClr val="accent1">
                      <a:lumMod val="60000"/>
                      <a:lumOff val="4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xmlns:c16r2="http://schemas.microsoft.com/office/drawing/2015/06/chart">
              <c:ext xmlns:c16="http://schemas.microsoft.com/office/drawing/2014/chart" uri="{C3380CC4-5D6E-409C-BE32-E72D297353CC}">
                <c16:uniqueId val="{0000003B-6101-4BA4-8388-56F6A7AD0349}"/>
              </c:ext>
            </c:extLst>
          </c:dPt>
          <c:cat>
            <c:strRef>
              <c:f>'Pivot Tables'!$F$15:$F$29</c:f>
              <c:strCache>
                <c:ptCount val="14"/>
                <c:pt idx="0">
                  <c:v>Bad Homburg</c:v>
                </c:pt>
                <c:pt idx="1">
                  <c:v>Frankfurt</c:v>
                </c:pt>
                <c:pt idx="2">
                  <c:v>Haiger</c:v>
                </c:pt>
                <c:pt idx="3">
                  <c:v>Hamburg</c:v>
                </c:pt>
                <c:pt idx="4">
                  <c:v>Heidelberg</c:v>
                </c:pt>
                <c:pt idx="5">
                  <c:v>Herzogenaurach</c:v>
                </c:pt>
                <c:pt idx="6">
                  <c:v>Kuenzelsau</c:v>
                </c:pt>
                <c:pt idx="7">
                  <c:v>Mulheim an der Ruhr</c:v>
                </c:pt>
                <c:pt idx="8">
                  <c:v>Munich</c:v>
                </c:pt>
                <c:pt idx="9">
                  <c:v>Neckarsulm</c:v>
                </c:pt>
                <c:pt idx="10">
                  <c:v>Passau</c:v>
                </c:pt>
                <c:pt idx="11">
                  <c:v>Tegernsee</c:v>
                </c:pt>
                <c:pt idx="12">
                  <c:v>Ulm</c:v>
                </c:pt>
                <c:pt idx="13">
                  <c:v>Visbek</c:v>
                </c:pt>
              </c:strCache>
            </c:strRef>
          </c:cat>
          <c:val>
            <c:numRef>
              <c:f>'Pivot Tables'!$G$15:$G$29</c:f>
              <c:numCache>
                <c:formatCode>General</c:formatCode>
                <c:ptCount val="14"/>
                <c:pt idx="0">
                  <c:v>13543500</c:v>
                </c:pt>
                <c:pt idx="1">
                  <c:v>7076800</c:v>
                </c:pt>
                <c:pt idx="2">
                  <c:v>848700</c:v>
                </c:pt>
                <c:pt idx="3">
                  <c:v>39380200</c:v>
                </c:pt>
                <c:pt idx="4">
                  <c:v>7582900</c:v>
                </c:pt>
                <c:pt idx="5">
                  <c:v>8509000</c:v>
                </c:pt>
                <c:pt idx="6">
                  <c:v>3294500</c:v>
                </c:pt>
                <c:pt idx="7">
                  <c:v>2705950</c:v>
                </c:pt>
                <c:pt idx="8">
                  <c:v>5046400</c:v>
                </c:pt>
                <c:pt idx="9">
                  <c:v>2171000</c:v>
                </c:pt>
                <c:pt idx="10">
                  <c:v>5089600</c:v>
                </c:pt>
                <c:pt idx="11">
                  <c:v>17428000</c:v>
                </c:pt>
                <c:pt idx="12">
                  <c:v>4212450</c:v>
                </c:pt>
                <c:pt idx="13">
                  <c:v>3433100</c:v>
                </c:pt>
              </c:numCache>
            </c:numRef>
          </c:val>
          <c:extLst xmlns:c16r2="http://schemas.microsoft.com/office/drawing/2015/06/chart">
            <c:ext xmlns:c16="http://schemas.microsoft.com/office/drawing/2014/chart" uri="{C3380CC4-5D6E-409C-BE32-E72D297353CC}">
              <c16:uniqueId val="{0000003C-6101-4BA4-8388-56F6A7AD034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347294011561436"/>
          <c:y val="0.10761154855643044"/>
          <c:w val="0.2413847960350011"/>
          <c:h val="0.8772362337956486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 data (project Final).xlsx]Pivot Tables!PivotTable5</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 Tables'!$J$15</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BC6-4591-B579-4CB4E235902F}"/>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BC6-4591-B579-4CB4E235902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Tables'!$I$16:$I$17</c:f>
              <c:strCache>
                <c:ptCount val="2"/>
                <c:pt idx="0">
                  <c:v>Cash</c:v>
                </c:pt>
                <c:pt idx="1">
                  <c:v>Online</c:v>
                </c:pt>
              </c:strCache>
            </c:strRef>
          </c:cat>
          <c:val>
            <c:numRef>
              <c:f>'Pivot Tables'!$J$16:$J$17</c:f>
              <c:numCache>
                <c:formatCode>General</c:formatCode>
                <c:ptCount val="2"/>
                <c:pt idx="0">
                  <c:v>50848000</c:v>
                </c:pt>
                <c:pt idx="1">
                  <c:v>69474100</c:v>
                </c:pt>
              </c:numCache>
            </c:numRef>
          </c:val>
          <c:extLst xmlns:c16r2="http://schemas.microsoft.com/office/drawing/2015/06/chart">
            <c:ext xmlns:c16="http://schemas.microsoft.com/office/drawing/2014/chart" uri="{C3380CC4-5D6E-409C-BE32-E72D297353CC}">
              <c16:uniqueId val="{00000004-3BC6-4591-B579-4CB4E235902F}"/>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r"/>
      <c:layout/>
      <c:overlay val="0"/>
      <c:spPr>
        <a:solidFill>
          <a:schemeClr val="tx1"/>
        </a:solid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 data (project Final).xlsx]Pivot Tables!PivotTable1</c:name>
    <c:fmtId val="23"/>
  </c:pivotSource>
  <c:chart>
    <c:title>
      <c:tx>
        <c:rich>
          <a:bodyPr rot="0" spcFirstLastPara="1" vertOverflow="ellipsis" vert="horz" wrap="square" anchor="ctr" anchorCtr="1"/>
          <a:lstStyle/>
          <a:p>
            <a:pPr>
              <a:defRPr sz="1400" b="1" i="0" u="none" strike="noStrike" kern="1200" cap="none" baseline="0">
                <a:solidFill>
                  <a:srgbClr val="FF0000"/>
                </a:solidFill>
                <a:latin typeface="Berlin Sans FB Demi" panose="020E0802020502020306" pitchFamily="34" charset="0"/>
                <a:ea typeface="+mn-ea"/>
                <a:cs typeface="+mn-cs"/>
              </a:defRPr>
            </a:pPr>
            <a:r>
              <a:rPr lang="en-US">
                <a:solidFill>
                  <a:srgbClr val="FF0000"/>
                </a:solidFill>
                <a:latin typeface="Berlin Sans FB Demi" panose="020E0802020502020306" pitchFamily="34" charset="0"/>
              </a:rPr>
              <a:t>Month wise Medicine Sale</a:t>
            </a:r>
            <a:endParaRPr lang="en-IN">
              <a:solidFill>
                <a:srgbClr val="FF0000"/>
              </a:solidFill>
              <a:latin typeface="Berlin Sans FB Demi" panose="020E0802020502020306" pitchFamily="34" charset="0"/>
            </a:endParaRPr>
          </a:p>
        </c:rich>
      </c:tx>
      <c:layout>
        <c:manualLayout>
          <c:xMode val="edge"/>
          <c:yMode val="edge"/>
          <c:x val="0.33140512820512819"/>
          <c:y val="2.4582280477674683E-2"/>
        </c:manualLayout>
      </c:layout>
      <c:overlay val="0"/>
      <c:spPr>
        <a:solidFill>
          <a:schemeClr val="tx1"/>
        </a:solidFill>
        <a:ln>
          <a:noFill/>
        </a:ln>
        <a:effectLst/>
      </c:spPr>
      <c:txPr>
        <a:bodyPr rot="0" spcFirstLastPara="1" vertOverflow="ellipsis" vert="horz" wrap="square" anchor="ctr" anchorCtr="1"/>
        <a:lstStyle/>
        <a:p>
          <a:pPr>
            <a:defRPr sz="1400" b="1" i="0" u="none" strike="noStrike" kern="1200" cap="none" baseline="0">
              <a:solidFill>
                <a:srgbClr val="FF0000"/>
              </a:solidFill>
              <a:latin typeface="Berlin Sans FB Demi" panose="020E0802020502020306" pitchFamily="34" charset="0"/>
              <a:ea typeface="+mn-ea"/>
              <a:cs typeface="+mn-cs"/>
            </a:defRPr>
          </a:pPr>
          <a:endParaRPr lang="en-US"/>
        </a:p>
      </c:txPr>
    </c:title>
    <c:autoTitleDeleted val="0"/>
    <c:pivotFmts>
      <c:pivotFmt>
        <c:idx val="0"/>
      </c:pivotFmt>
      <c:pivotFmt>
        <c:idx val="1"/>
      </c:pivotFmt>
      <c:pivotFmt>
        <c:idx val="2"/>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bar"/>
        <c:grouping val="clustered"/>
        <c:varyColors val="0"/>
        <c:ser>
          <c:idx val="0"/>
          <c:order val="0"/>
          <c:tx>
            <c:strRef>
              <c:f>'Pivot Tables'!$J$20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Tables'!$I$21:$I$30</c:f>
              <c:strCache>
                <c:ptCount val="10"/>
                <c:pt idx="0">
                  <c:v>February</c:v>
                </c:pt>
                <c:pt idx="1">
                  <c:v>March</c:v>
                </c:pt>
                <c:pt idx="2">
                  <c:v>April</c:v>
                </c:pt>
                <c:pt idx="3">
                  <c:v>May</c:v>
                </c:pt>
                <c:pt idx="4">
                  <c:v>July</c:v>
                </c:pt>
                <c:pt idx="5">
                  <c:v>August</c:v>
                </c:pt>
                <c:pt idx="6">
                  <c:v>September</c:v>
                </c:pt>
                <c:pt idx="7">
                  <c:v>October</c:v>
                </c:pt>
                <c:pt idx="8">
                  <c:v>November</c:v>
                </c:pt>
                <c:pt idx="9">
                  <c:v>December</c:v>
                </c:pt>
              </c:strCache>
            </c:strRef>
          </c:cat>
          <c:val>
            <c:numRef>
              <c:f>'Pivot Tables'!$J$21:$J$30</c:f>
              <c:numCache>
                <c:formatCode>General</c:formatCode>
                <c:ptCount val="10"/>
                <c:pt idx="0">
                  <c:v>5089600</c:v>
                </c:pt>
                <c:pt idx="1">
                  <c:v>6762900</c:v>
                </c:pt>
                <c:pt idx="2">
                  <c:v>9108800</c:v>
                </c:pt>
                <c:pt idx="3">
                  <c:v>29986150</c:v>
                </c:pt>
                <c:pt idx="4">
                  <c:v>1118000</c:v>
                </c:pt>
                <c:pt idx="5">
                  <c:v>17770950</c:v>
                </c:pt>
                <c:pt idx="6">
                  <c:v>13543500</c:v>
                </c:pt>
                <c:pt idx="7">
                  <c:v>2452800</c:v>
                </c:pt>
                <c:pt idx="8">
                  <c:v>9670400</c:v>
                </c:pt>
                <c:pt idx="9">
                  <c:v>24819000</c:v>
                </c:pt>
              </c:numCache>
            </c:numRef>
          </c:val>
          <c:extLst xmlns:c16r2="http://schemas.microsoft.com/office/drawing/2015/06/chart">
            <c:ext xmlns:c16="http://schemas.microsoft.com/office/drawing/2014/chart" uri="{C3380CC4-5D6E-409C-BE32-E72D297353CC}">
              <c16:uniqueId val="{00000000-8547-424D-83EE-3A5A8D5C97DB}"/>
            </c:ext>
          </c:extLst>
        </c:ser>
        <c:dLbls>
          <c:showLegendKey val="0"/>
          <c:showVal val="0"/>
          <c:showCatName val="0"/>
          <c:showSerName val="0"/>
          <c:showPercent val="0"/>
          <c:showBubbleSize val="0"/>
        </c:dLbls>
        <c:gapWidth val="182"/>
        <c:overlap val="-50"/>
        <c:axId val="933437184"/>
        <c:axId val="933437728"/>
      </c:barChart>
      <c:catAx>
        <c:axId val="93343718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437728"/>
        <c:crosses val="autoZero"/>
        <c:auto val="1"/>
        <c:lblAlgn val="ctr"/>
        <c:lblOffset val="100"/>
        <c:noMultiLvlLbl val="0"/>
      </c:catAx>
      <c:valAx>
        <c:axId val="93343772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3437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 data (project Final).xlsx]Pivot Tables!PivotTable3</c:name>
    <c:fmtId val="1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blipFill>
            <a:blip xmlns:r="http://schemas.openxmlformats.org/officeDocument/2006/relationships" r:embed="rId3"/>
            <a:tile tx="0" ty="0" sx="100000" sy="100000" flip="none" algn="tl"/>
          </a:blipFill>
          <a:ln>
            <a:noFill/>
          </a:ln>
          <a:effectLst>
            <a:glow>
              <a:schemeClr val="accent1">
                <a:alpha val="0"/>
              </a:schemeClr>
            </a:glow>
          </a:effectLst>
          <a:scene3d>
            <a:camera prst="orthographicFront"/>
            <a:lightRig rig="threePt" dir="t"/>
          </a:scene3d>
          <a:sp3d>
            <a:bevelB/>
          </a:sp3d>
        </c:spPr>
        <c:marker>
          <c:symbol val="none"/>
        </c:marker>
      </c:pivotFmt>
      <c:pivotFmt>
        <c:idx val="8"/>
        <c:spPr>
          <a:blipFill>
            <a:blip xmlns:r="http://schemas.openxmlformats.org/officeDocument/2006/relationships" r:embed="rId3"/>
            <a:tile tx="0" ty="0" sx="100000" sy="100000" flip="none" algn="tl"/>
          </a:blipFill>
          <a:ln>
            <a:noFill/>
          </a:ln>
          <a:effectLst>
            <a:glow>
              <a:schemeClr val="accent1">
                <a:alpha val="0"/>
              </a:schemeClr>
            </a:glow>
          </a:effectLst>
          <a:scene3d>
            <a:camera prst="orthographicFront"/>
            <a:lightRig rig="threePt" dir="t"/>
          </a:scene3d>
          <a:sp3d>
            <a:bevelB/>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blipFill>
            <a:blip xmlns:r="http://schemas.openxmlformats.org/officeDocument/2006/relationships" r:embed="rId3"/>
            <a:tile tx="0" ty="0" sx="100000" sy="100000" flip="none" algn="tl"/>
          </a:blipFill>
          <a:ln>
            <a:noFill/>
          </a:ln>
          <a:effectLst>
            <a:glow>
              <a:schemeClr val="accent1">
                <a:alpha val="0"/>
              </a:schemeClr>
            </a:glow>
          </a:effectLst>
          <a:scene3d>
            <a:camera prst="orthographicFront"/>
            <a:lightRig rig="threePt" dir="t"/>
          </a:scene3d>
          <a:sp3d>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blipFill>
            <a:blip xmlns:r="http://schemas.openxmlformats.org/officeDocument/2006/relationships" r:embed="rId3"/>
            <a:tile tx="0" ty="0" sx="100000" sy="100000" flip="none" algn="tl"/>
          </a:blipFill>
          <a:ln>
            <a:noFill/>
          </a:ln>
          <a:effectLst>
            <a:glow>
              <a:schemeClr val="accent1">
                <a:alpha val="0"/>
              </a:schemeClr>
            </a:glow>
          </a:effectLst>
          <a:scene3d>
            <a:camera prst="orthographicFront"/>
            <a:lightRig rig="threePt" dir="t"/>
          </a:scene3d>
          <a:sp3d>
            <a:bevelB/>
          </a:sp3d>
        </c:spPr>
      </c:pivotFmt>
      <c:pivotFmt>
        <c:idx val="11"/>
        <c:spPr>
          <a:blipFill>
            <a:blip xmlns:r="http://schemas.openxmlformats.org/officeDocument/2006/relationships" r:embed="rId3"/>
            <a:tile tx="0" ty="0" sx="100000" sy="100000" flip="none" algn="tl"/>
          </a:blipFill>
          <a:ln>
            <a:noFill/>
          </a:ln>
          <a:effectLst>
            <a:glow>
              <a:schemeClr val="accent1">
                <a:alpha val="0"/>
              </a:schemeClr>
            </a:glow>
          </a:effectLst>
          <a:scene3d>
            <a:camera prst="orthographicFront"/>
            <a:lightRig rig="threePt" dir="t"/>
          </a:scene3d>
          <a:sp3d>
            <a:bevelB/>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chemeClr val="tx1"/>
          </a:solidFill>
          <a:ln>
            <a:noFill/>
          </a:ln>
          <a:effectLst>
            <a:glow>
              <a:schemeClr val="accent1">
                <a:alpha val="0"/>
              </a:schemeClr>
            </a:glow>
          </a:effectLst>
          <a:scene3d>
            <a:camera prst="orthographicFront"/>
            <a:lightRig rig="threePt" dir="t"/>
          </a:scene3d>
          <a:sp3d>
            <a:bevelB/>
          </a:sp3d>
        </c:spPr>
        <c:dLbl>
          <c:idx val="0"/>
          <c:layout>
            <c:manualLayout>
              <c:x val="6.3208401528364405E-2"/>
              <c:y val="-6.988585729109449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A90C0AD-2DA4-43B0-BBAD-9511816280BE}" type="VALUE">
                  <a:rPr lang="en-US" sz="1200" b="1">
                    <a:solidFill>
                      <a:srgbClr val="FF0000"/>
                    </a:solidFill>
                  </a:rPr>
                  <a:pPr>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65F8-4864-A370-729CDD1D6B94}"/>
            </c:ext>
            <c:ext xmlns:c15="http://schemas.microsoft.com/office/drawing/2012/chart" uri="{CE6537A1-D6FC-4f65-9D91-7224C49458BB}">
              <c15:layout>
                <c:manualLayout>
                  <c:w val="0.38082144365088721"/>
                  <c:h val="0.50643960202649085"/>
                </c:manualLayout>
              </c15:layout>
              <c15:dlblFieldTable/>
              <c15:showDataLabelsRange val="0"/>
            </c:ext>
          </c:extLst>
        </c:dLbl>
      </c:pivotFmt>
    </c:pivotFmts>
    <c:plotArea>
      <c:layout>
        <c:manualLayout>
          <c:layoutTarget val="inner"/>
          <c:xMode val="edge"/>
          <c:yMode val="edge"/>
          <c:x val="0.61372120368329564"/>
          <c:y val="0.35317096990783131"/>
          <c:w val="0.19455185007514791"/>
          <c:h val="0.47628639443325399"/>
        </c:manualLayout>
      </c:layout>
      <c:pieChart>
        <c:varyColors val="1"/>
        <c:ser>
          <c:idx val="0"/>
          <c:order val="0"/>
          <c:tx>
            <c:strRef>
              <c:f>'Pivot Tables'!$B$43</c:f>
              <c:strCache>
                <c:ptCount val="1"/>
                <c:pt idx="0">
                  <c:v>Total</c:v>
                </c:pt>
              </c:strCache>
            </c:strRef>
          </c:tx>
          <c:spPr>
            <a:blipFill>
              <a:blip xmlns:r="http://schemas.openxmlformats.org/officeDocument/2006/relationships" r:embed="rId3"/>
              <a:tile tx="0" ty="0" sx="100000" sy="100000" flip="none" algn="tl"/>
            </a:blipFill>
            <a:effectLst>
              <a:glow>
                <a:schemeClr val="accent1">
                  <a:alpha val="0"/>
                </a:schemeClr>
              </a:glow>
            </a:effectLst>
            <a:scene3d>
              <a:camera prst="orthographicFront"/>
              <a:lightRig rig="threePt" dir="t"/>
            </a:scene3d>
            <a:sp3d>
              <a:bevelB/>
            </a:sp3d>
          </c:spPr>
          <c:explosion val="100"/>
          <c:dPt>
            <c:idx val="0"/>
            <c:bubble3D val="0"/>
            <c:spPr>
              <a:solidFill>
                <a:schemeClr val="tx1"/>
              </a:solidFill>
              <a:ln>
                <a:noFill/>
              </a:ln>
              <a:effectLst>
                <a:glow>
                  <a:schemeClr val="accent1">
                    <a:alpha val="0"/>
                  </a:schemeClr>
                </a:glow>
              </a:effectLst>
              <a:scene3d>
                <a:camera prst="orthographicFront"/>
                <a:lightRig rig="threePt" dir="t"/>
              </a:scene3d>
              <a:sp3d>
                <a:bevelB/>
              </a:sp3d>
            </c:spPr>
            <c:extLst xmlns:c16r2="http://schemas.microsoft.com/office/drawing/2015/06/chart">
              <c:ext xmlns:c16="http://schemas.microsoft.com/office/drawing/2014/chart" uri="{C3380CC4-5D6E-409C-BE32-E72D297353CC}">
                <c16:uniqueId val="{00000001-65F8-4864-A370-729CDD1D6B94}"/>
              </c:ext>
            </c:extLst>
          </c:dPt>
          <c:dLbls>
            <c:dLbl>
              <c:idx val="0"/>
              <c:layout>
                <c:manualLayout>
                  <c:x val="6.3208401528364405E-2"/>
                  <c:y val="-6.988585729109449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A90C0AD-2DA4-43B0-BBAD-9511816280BE}" type="VALUE">
                      <a:rPr lang="en-US" sz="1200" b="1">
                        <a:solidFill>
                          <a:srgbClr val="FF0000"/>
                        </a:solidFill>
                      </a:rPr>
                      <a:pPr>
                        <a:defRPr/>
                      </a:pPr>
                      <a:t>[VALUE]</a:t>
                    </a:fld>
                    <a:endParaRPr lang="en-IN"/>
                  </a:p>
                </c:rich>
              </c:tx>
              <c:spPr>
                <a:solidFill>
                  <a:schemeClr val="tx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65F8-4864-A370-729CDD1D6B94}"/>
                </c:ext>
                <c:ext xmlns:c15="http://schemas.microsoft.com/office/drawing/2012/chart" uri="{CE6537A1-D6FC-4f65-9D91-7224C49458BB}">
                  <c15:layout>
                    <c:manualLayout>
                      <c:w val="0.38082144365088721"/>
                      <c:h val="0.50643960202649085"/>
                    </c:manualLayout>
                  </c15:layout>
                  <c15:dlblFieldTable/>
                  <c15:showDataLabelsRange val="0"/>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Tables'!$A$44</c:f>
              <c:strCache>
                <c:ptCount val="1"/>
                <c:pt idx="0">
                  <c:v>Paracetamol</c:v>
                </c:pt>
              </c:strCache>
            </c:strRef>
          </c:cat>
          <c:val>
            <c:numRef>
              <c:f>'Pivot Tables'!$B$44</c:f>
              <c:numCache>
                <c:formatCode>General</c:formatCode>
                <c:ptCount val="1"/>
                <c:pt idx="0">
                  <c:v>47</c:v>
                </c:pt>
              </c:numCache>
            </c:numRef>
          </c:val>
          <c:extLst xmlns:c16r2="http://schemas.microsoft.com/office/drawing/2015/06/chart">
            <c:ext xmlns:c16="http://schemas.microsoft.com/office/drawing/2014/chart" uri="{C3380CC4-5D6E-409C-BE32-E72D297353CC}">
              <c16:uniqueId val="{00000002-65F8-4864-A370-729CDD1D6B9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2.6036203915202928E-2"/>
          <c:y val="0.32732100347921628"/>
          <c:w val="0.51362731919054172"/>
          <c:h val="0.589856558627845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x:spPr>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29037B7D-0912-4BF1-910F-1D88439AA860}">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image" Target="../media/image1.jpeg"/><Relationship Id="rId1" Type="http://schemas.microsoft.com/office/2014/relationships/chartEx" Target="../charts/chartEx1.xml"/><Relationship Id="rId6" Type="http://schemas.openxmlformats.org/officeDocument/2006/relationships/chart" Target="../charts/chart3.xml"/><Relationship Id="rId5" Type="http://schemas.microsoft.com/office/2014/relationships/chartEx" Target="../charts/chartEx2.xml"/><Relationship Id="rId10" Type="http://schemas.openxmlformats.org/officeDocument/2006/relationships/image" Target="../media/image3.png"/><Relationship Id="rId4" Type="http://schemas.openxmlformats.org/officeDocument/2006/relationships/chart" Target="../charts/chart2.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38099</xdr:colOff>
      <xdr:row>23</xdr:row>
      <xdr:rowOff>95250</xdr:rowOff>
    </xdr:to>
    <xdr:sp macro="" textlink="">
      <xdr:nvSpPr>
        <xdr:cNvPr id="3" name="Rectangle 2"/>
        <xdr:cNvSpPr/>
      </xdr:nvSpPr>
      <xdr:spPr>
        <a:xfrm>
          <a:off x="0" y="0"/>
          <a:ext cx="12601574" cy="4476750"/>
        </a:xfrm>
        <a:prstGeom prst="rect">
          <a:avLst/>
        </a:prstGeom>
      </xdr:spPr>
      <xdr:style>
        <a:lnRef idx="0">
          <a:schemeClr val="accent5"/>
        </a:lnRef>
        <a:fillRef idx="3">
          <a:schemeClr val="accent5"/>
        </a:fillRef>
        <a:effectRef idx="3">
          <a:schemeClr val="accent5"/>
        </a:effectRef>
        <a:fontRef idx="minor">
          <a:schemeClr val="lt1"/>
        </a:fontRef>
      </xdr:style>
      <xdr:txBody>
        <a:bodyPr rtlCol="0" anchor="ctr"/>
        <a:lstStyle/>
        <a:p>
          <a:pPr algn="ctr"/>
          <a:r>
            <a:rPr lang="en-US" sz="1100">
              <a:solidFill>
                <a:srgbClr val="FF0000"/>
              </a:solidFill>
            </a:rPr>
            <a:t>sss</a:t>
          </a:r>
        </a:p>
      </xdr:txBody>
    </xdr:sp>
    <xdr:clientData/>
  </xdr:twoCellAnchor>
  <xdr:twoCellAnchor>
    <xdr:from>
      <xdr:col>0</xdr:col>
      <xdr:colOff>95249</xdr:colOff>
      <xdr:row>0</xdr:row>
      <xdr:rowOff>114300</xdr:rowOff>
    </xdr:from>
    <xdr:to>
      <xdr:col>2</xdr:col>
      <xdr:colOff>238125</xdr:colOff>
      <xdr:row>22</xdr:row>
      <xdr:rowOff>123825</xdr:rowOff>
    </xdr:to>
    <xdr:sp macro="" textlink="">
      <xdr:nvSpPr>
        <xdr:cNvPr id="4" name="Rounded Rectangle 3"/>
        <xdr:cNvSpPr/>
      </xdr:nvSpPr>
      <xdr:spPr>
        <a:xfrm>
          <a:off x="95249" y="114300"/>
          <a:ext cx="1628776" cy="4200525"/>
        </a:xfrm>
        <a:prstGeom prst="roundRect">
          <a:avLst/>
        </a:prstGeom>
      </xdr:spPr>
      <xdr:style>
        <a:lnRef idx="0">
          <a:schemeClr val="accent2"/>
        </a:lnRef>
        <a:fillRef idx="3">
          <a:schemeClr val="accent2"/>
        </a:fillRef>
        <a:effectRef idx="3">
          <a:schemeClr val="accent2"/>
        </a:effectRef>
        <a:fontRef idx="minor">
          <a:schemeClr val="lt1"/>
        </a:fontRef>
      </xdr:style>
      <xdr:txBody>
        <a:bodyPr rtlCol="0" anchor="ctr"/>
        <a:lstStyle/>
        <a:p>
          <a:pPr algn="ctr"/>
          <a:endParaRPr lang="en-US" sz="1100"/>
        </a:p>
      </xdr:txBody>
    </xdr:sp>
    <xdr:clientData/>
  </xdr:twoCellAnchor>
  <xdr:twoCellAnchor>
    <xdr:from>
      <xdr:col>14</xdr:col>
      <xdr:colOff>463878</xdr:colOff>
      <xdr:row>11</xdr:row>
      <xdr:rowOff>36900</xdr:rowOff>
    </xdr:from>
    <xdr:to>
      <xdr:col>18</xdr:col>
      <xdr:colOff>9525</xdr:colOff>
      <xdr:row>22</xdr:row>
      <xdr:rowOff>114299</xdr:rowOff>
    </xdr:to>
    <xdr:sp macro="" textlink="">
      <xdr:nvSpPr>
        <xdr:cNvPr id="7" name="Rectangle 6"/>
        <xdr:cNvSpPr/>
      </xdr:nvSpPr>
      <xdr:spPr>
        <a:xfrm>
          <a:off x="9817428" y="2132400"/>
          <a:ext cx="2755572" cy="217289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xdr:col>
      <xdr:colOff>409575</xdr:colOff>
      <xdr:row>11</xdr:row>
      <xdr:rowOff>38100</xdr:rowOff>
    </xdr:from>
    <xdr:to>
      <xdr:col>7</xdr:col>
      <xdr:colOff>438149</xdr:colOff>
      <xdr:row>22</xdr:row>
      <xdr:rowOff>114298</xdr:rowOff>
    </xdr:to>
    <xdr:sp macro="" textlink="">
      <xdr:nvSpPr>
        <xdr:cNvPr id="12" name="Rectangle 11"/>
        <xdr:cNvSpPr/>
      </xdr:nvSpPr>
      <xdr:spPr>
        <a:xfrm>
          <a:off x="1895475" y="2133600"/>
          <a:ext cx="3905249" cy="217169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14</xdr:col>
      <xdr:colOff>515819</xdr:colOff>
      <xdr:row>11</xdr:row>
      <xdr:rowOff>107898</xdr:rowOff>
    </xdr:from>
    <xdr:to>
      <xdr:col>17</xdr:col>
      <xdr:colOff>781050</xdr:colOff>
      <xdr:row>22</xdr:row>
      <xdr:rowOff>76200</xdr:rowOff>
    </xdr:to>
    <mc:AlternateContent xmlns:mc="http://schemas.openxmlformats.org/markup-compatibility/2006">
      <mc:Choice xmlns:cx1="http://schemas.microsoft.com/office/drawing/2015/9/8/chartex" xmlns="" Requires="cx1">
        <xdr:graphicFrame macro="">
          <xdr:nvGraphicFramePr>
            <xdr:cNvPr id="11" name="Chart 10"/>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495300</xdr:colOff>
      <xdr:row>11</xdr:row>
      <xdr:rowOff>38100</xdr:rowOff>
    </xdr:from>
    <xdr:to>
      <xdr:col>14</xdr:col>
      <xdr:colOff>409574</xdr:colOff>
      <xdr:row>22</xdr:row>
      <xdr:rowOff>114298</xdr:rowOff>
    </xdr:to>
    <xdr:sp macro="" textlink="">
      <xdr:nvSpPr>
        <xdr:cNvPr id="17" name="Rectangle 16"/>
        <xdr:cNvSpPr/>
      </xdr:nvSpPr>
      <xdr:spPr>
        <a:xfrm>
          <a:off x="5857875" y="2133600"/>
          <a:ext cx="3905249" cy="217169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6</xdr:col>
      <xdr:colOff>742950</xdr:colOff>
      <xdr:row>0</xdr:row>
      <xdr:rowOff>104775</xdr:rowOff>
    </xdr:from>
    <xdr:to>
      <xdr:col>13</xdr:col>
      <xdr:colOff>523875</xdr:colOff>
      <xdr:row>3</xdr:row>
      <xdr:rowOff>104774</xdr:rowOff>
    </xdr:to>
    <xdr:sp macro="" textlink="">
      <xdr:nvSpPr>
        <xdr:cNvPr id="13" name="Rectangle 12"/>
        <xdr:cNvSpPr/>
      </xdr:nvSpPr>
      <xdr:spPr>
        <a:xfrm>
          <a:off x="5067300" y="104775"/>
          <a:ext cx="4200525" cy="571499"/>
        </a:xfrm>
        <a:prstGeom prst="rect">
          <a:avLst/>
        </a:prstGeom>
        <a:blipFill>
          <a:blip xmlns:r="http://schemas.openxmlformats.org/officeDocument/2006/relationships" r:embed="rId2"/>
          <a:tile tx="0" ty="0" sx="100000" sy="100000" flip="none" algn="tl"/>
        </a:blip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0</xdr:col>
      <xdr:colOff>152400</xdr:colOff>
      <xdr:row>1</xdr:row>
      <xdr:rowOff>142875</xdr:rowOff>
    </xdr:from>
    <xdr:to>
      <xdr:col>2</xdr:col>
      <xdr:colOff>161925</xdr:colOff>
      <xdr:row>21</xdr:row>
      <xdr:rowOff>104775</xdr:rowOff>
    </xdr:to>
    <mc:AlternateContent xmlns:mc="http://schemas.openxmlformats.org/markup-compatibility/2006" xmlns:a14="http://schemas.microsoft.com/office/drawing/2010/main">
      <mc:Choice Requires="a14">
        <xdr:graphicFrame macro="">
          <xdr:nvGraphicFramePr>
            <xdr:cNvPr id="1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2400" y="333375"/>
              <a:ext cx="1495425" cy="377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476250</xdr:colOff>
      <xdr:row>11</xdr:row>
      <xdr:rowOff>76200</xdr:rowOff>
    </xdr:from>
    <xdr:to>
      <xdr:col>7</xdr:col>
      <xdr:colOff>371475</xdr:colOff>
      <xdr:row>22</xdr:row>
      <xdr:rowOff>76200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xdr:colOff>
      <xdr:row>11</xdr:row>
      <xdr:rowOff>76200</xdr:rowOff>
    </xdr:from>
    <xdr:to>
      <xdr:col>14</xdr:col>
      <xdr:colOff>381000</xdr:colOff>
      <xdr:row>22</xdr:row>
      <xdr:rowOff>95250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xdr:colOff>
      <xdr:row>13</xdr:row>
      <xdr:rowOff>190499</xdr:rowOff>
    </xdr:from>
    <xdr:to>
      <xdr:col>17</xdr:col>
      <xdr:colOff>676276</xdr:colOff>
      <xdr:row>21</xdr:row>
      <xdr:rowOff>142874</xdr:rowOff>
    </xdr:to>
    <mc:AlternateContent xmlns:mc="http://schemas.openxmlformats.org/markup-compatibility/2006">
      <mc:Choice xmlns:cx1="http://schemas.microsoft.com/office/drawing/2015/9/8/chartex" xmlns="" Requires="cx1">
        <xdr:graphicFrame macro="">
          <xdr:nvGraphicFramePr>
            <xdr:cNvPr id="14" name="Chart 13"/>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5" name="Rectangle 4"/>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400050</xdr:colOff>
      <xdr:row>0</xdr:row>
      <xdr:rowOff>123825</xdr:rowOff>
    </xdr:from>
    <xdr:to>
      <xdr:col>6</xdr:col>
      <xdr:colOff>666750</xdr:colOff>
      <xdr:row>10</xdr:row>
      <xdr:rowOff>171450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634611</xdr:colOff>
      <xdr:row>3</xdr:row>
      <xdr:rowOff>104119</xdr:rowOff>
    </xdr:from>
    <xdr:to>
      <xdr:col>10</xdr:col>
      <xdr:colOff>219782</xdr:colOff>
      <xdr:row>11</xdr:row>
      <xdr:rowOff>26277</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47624</xdr:colOff>
      <xdr:row>0</xdr:row>
      <xdr:rowOff>104775</xdr:rowOff>
    </xdr:from>
    <xdr:to>
      <xdr:col>17</xdr:col>
      <xdr:colOff>771524</xdr:colOff>
      <xdr:row>10</xdr:row>
      <xdr:rowOff>152401</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814019</xdr:colOff>
      <xdr:row>0</xdr:row>
      <xdr:rowOff>114300</xdr:rowOff>
    </xdr:from>
    <xdr:to>
      <xdr:col>10</xdr:col>
      <xdr:colOff>180975</xdr:colOff>
      <xdr:row>3</xdr:row>
      <xdr:rowOff>85725</xdr:rowOff>
    </xdr:to>
    <xdr:sp macro="" textlink="">
      <xdr:nvSpPr>
        <xdr:cNvPr id="8" name="TextBox 7"/>
        <xdr:cNvSpPr txBox="1"/>
      </xdr:nvSpPr>
      <xdr:spPr>
        <a:xfrm>
          <a:off x="5138369" y="114300"/>
          <a:ext cx="2053006" cy="5429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n-US" sz="2000" b="1" i="0" baseline="0">
              <a:solidFill>
                <a:srgbClr val="FF0000"/>
              </a:solidFill>
              <a:effectLst>
                <a:outerShdw blurRad="50800" dist="38100" dir="5400000" algn="t" rotWithShape="0">
                  <a:srgbClr val="000000">
                    <a:alpha val="40000"/>
                  </a:srgbClr>
                </a:outerShdw>
              </a:effectLst>
              <a:latin typeface="Berlin Sans FB Demi" panose="020E0802020502020306" pitchFamily="34" charset="0"/>
              <a:ea typeface="+mn-ea"/>
              <a:cs typeface="+mn-cs"/>
            </a:rPr>
            <a:t>Total Revenue</a:t>
          </a:r>
          <a:endParaRPr lang="en-IN" sz="2000">
            <a:solidFill>
              <a:srgbClr val="FF0000"/>
            </a:solidFill>
            <a:effectLst/>
            <a:latin typeface="Berlin Sans FB Demi" panose="020E0802020502020306" pitchFamily="34" charset="0"/>
          </a:endParaRPr>
        </a:p>
      </xdr:txBody>
    </xdr:sp>
    <xdr:clientData/>
  </xdr:twoCellAnchor>
  <xdr:twoCellAnchor>
    <xdr:from>
      <xdr:col>10</xdr:col>
      <xdr:colOff>219075</xdr:colOff>
      <xdr:row>0</xdr:row>
      <xdr:rowOff>135548</xdr:rowOff>
    </xdr:from>
    <xdr:to>
      <xdr:col>13</xdr:col>
      <xdr:colOff>457199</xdr:colOff>
      <xdr:row>3</xdr:row>
      <xdr:rowOff>76199</xdr:rowOff>
    </xdr:to>
    <xdr:sp macro="" textlink="'Pivot Tables'!L23">
      <xdr:nvSpPr>
        <xdr:cNvPr id="9" name="TextBox 8"/>
        <xdr:cNvSpPr txBox="1"/>
      </xdr:nvSpPr>
      <xdr:spPr>
        <a:xfrm>
          <a:off x="7229475" y="135548"/>
          <a:ext cx="1971674" cy="51215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7EE1D6-1452-4896-AFC2-49E770D8D0BB}" type="TxLink">
            <a:rPr lang="en-US" sz="2400" b="0" i="0" u="none" strike="noStrike">
              <a:solidFill>
                <a:schemeClr val="bg1"/>
              </a:solidFill>
              <a:latin typeface="Berlin Sans FB Demi"/>
              <a:cs typeface="Calibri"/>
            </a:rPr>
            <a:pPr algn="ctr"/>
            <a:t>2300604400</a:t>
          </a:fld>
          <a:endParaRPr lang="en-IN" sz="2400">
            <a:solidFill>
              <a:schemeClr val="bg1"/>
            </a:solidFill>
            <a:latin typeface="Berlin Sans FB Demi" panose="020E0802020502020306" pitchFamily="34" charset="0"/>
          </a:endParaRPr>
        </a:p>
      </xdr:txBody>
    </xdr:sp>
    <xdr:clientData/>
  </xdr:twoCellAnchor>
  <xdr:twoCellAnchor editAs="oneCell">
    <xdr:from>
      <xdr:col>10</xdr:col>
      <xdr:colOff>252044</xdr:colOff>
      <xdr:row>3</xdr:row>
      <xdr:rowOff>104775</xdr:rowOff>
    </xdr:from>
    <xdr:to>
      <xdr:col>13</xdr:col>
      <xdr:colOff>533400</xdr:colOff>
      <xdr:row>6</xdr:row>
      <xdr:rowOff>161924</xdr:rowOff>
    </xdr:to>
    <mc:AlternateContent xmlns:mc="http://schemas.openxmlformats.org/markup-compatibility/2006" xmlns:a14="http://schemas.microsoft.com/office/drawing/2010/main">
      <mc:Choice Requires="a14">
        <xdr:graphicFrame macro="">
          <xdr:nvGraphicFramePr>
            <xdr:cNvPr id="25" name="Medicine name"/>
            <xdr:cNvGraphicFramePr/>
          </xdr:nvGraphicFramePr>
          <xdr:xfrm>
            <a:off x="0" y="0"/>
            <a:ext cx="0" cy="0"/>
          </xdr:xfrm>
          <a:graphic>
            <a:graphicData uri="http://schemas.microsoft.com/office/drawing/2010/slicer">
              <sle:slicer xmlns:sle="http://schemas.microsoft.com/office/drawing/2010/slicer" name="Medicine name"/>
            </a:graphicData>
          </a:graphic>
        </xdr:graphicFrame>
      </mc:Choice>
      <mc:Fallback xmlns="">
        <xdr:sp macro="" textlink="">
          <xdr:nvSpPr>
            <xdr:cNvPr id="0" name=""/>
            <xdr:cNvSpPr>
              <a:spLocks noTextEdit="1"/>
            </xdr:cNvSpPr>
          </xdr:nvSpPr>
          <xdr:spPr>
            <a:xfrm>
              <a:off x="7262444" y="676275"/>
              <a:ext cx="2014906" cy="628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257176</xdr:colOff>
      <xdr:row>6</xdr:row>
      <xdr:rowOff>104775</xdr:rowOff>
    </xdr:from>
    <xdr:to>
      <xdr:col>13</xdr:col>
      <xdr:colOff>533400</xdr:colOff>
      <xdr:row>10</xdr:row>
      <xdr:rowOff>161925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257175</xdr:colOff>
      <xdr:row>11</xdr:row>
      <xdr:rowOff>136473</xdr:rowOff>
    </xdr:from>
    <xdr:to>
      <xdr:col>17</xdr:col>
      <xdr:colOff>542925</xdr:colOff>
      <xdr:row>13</xdr:row>
      <xdr:rowOff>115168</xdr:rowOff>
    </xdr:to>
    <xdr:pic>
      <xdr:nvPicPr>
        <xdr:cNvPr id="6" name="Picture 1"/>
        <xdr:cNvPicPr>
          <a:picLocks noChangeAspect="1"/>
        </xdr:cNvPicPr>
      </xdr:nvPicPr>
      <xdr:blipFill>
        <a:blip xmlns:r="http://schemas.openxmlformats.org/officeDocument/2006/relationships" r:embed="rId10"/>
        <a:stretch>
          <a:fillRect/>
        </a:stretch>
      </xdr:blipFill>
      <xdr:spPr>
        <a:xfrm>
          <a:off x="10172700" y="2231973"/>
          <a:ext cx="2095500" cy="359695"/>
        </a:xfrm>
        <a:prstGeom prst="rect">
          <a:avLst/>
        </a:prstGeom>
        <a:solidFill>
          <a:schemeClr val="tx1"/>
        </a:solidFill>
      </xdr:spPr>
    </xdr:pic>
    <xdr:clientData/>
  </xdr:twoCellAnchor>
</xdr:wsDr>
</file>

<file path=xl/drawings/drawing2.xml><?xml version="1.0" encoding="utf-8"?>
<c:userShapes xmlns:c="http://schemas.openxmlformats.org/drawingml/2006/chart">
  <cdr:relSizeAnchor xmlns:cdr="http://schemas.openxmlformats.org/drawingml/2006/chartDrawing">
    <cdr:from>
      <cdr:x>0.99612</cdr:x>
      <cdr:y>0</cdr:y>
    </cdr:from>
    <cdr:to>
      <cdr:x>0.99612</cdr:x>
      <cdr:y>1</cdr:y>
    </cdr:to>
    <cdr:cxnSp macro="">
      <cdr:nvCxnSpPr>
        <cdr:cNvPr id="2" name="Straight Connector 1"/>
        <cdr:cNvCxnSpPr/>
      </cdr:nvCxnSpPr>
      <cdr:spPr>
        <a:xfrm xmlns:a="http://schemas.openxmlformats.org/drawingml/2006/main">
          <a:off x="2262403" y="0"/>
          <a:ext cx="0" cy="1446158"/>
        </a:xfrm>
        <a:prstGeom xmlns:a="http://schemas.openxmlformats.org/drawingml/2006/main" prst="line">
          <a:avLst/>
        </a:prstGeom>
        <a:ln xmlns:a="http://schemas.openxmlformats.org/drawingml/2006/main" w="76200">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16.192642013892" createdVersion="6" refreshedVersion="6" minRefreshableVersion="3" recordCount="474">
  <cacheSource type="worksheet">
    <worksheetSource ref="A4:J478" sheet="Data"/>
  </cacheSource>
  <cacheFields count="10">
    <cacheField name="Medicine name" numFmtId="0">
      <sharedItems count="12">
        <s v="Paracetamol"/>
        <s v="Omeprazole"/>
        <s v="Lbuprofen"/>
        <s v="Dolo"/>
        <s v="Fluconazole"/>
        <s v="Sumo"/>
        <s v="Calpol"/>
        <s v="Metformin"/>
        <s v="Amoxicillin"/>
        <s v="Centirizin"/>
        <s v="Diclofenac"/>
        <s v="Azithroycin"/>
      </sharedItems>
    </cacheField>
    <cacheField name="Region" numFmtId="0">
      <sharedItems count="4">
        <s v="East"/>
        <s v="West"/>
        <s v="North"/>
        <s v="South"/>
      </sharedItems>
    </cacheField>
    <cacheField name="Country" numFmtId="0">
      <sharedItems count="39">
        <s v="United States"/>
        <s v="Philippines"/>
        <s v="China"/>
        <s v="Italy"/>
        <s v="Australia"/>
        <s v="Singapore"/>
        <s v="France"/>
        <s v="Canada"/>
        <s v="Egypt"/>
        <s v="Germany"/>
        <s v="Nigeria"/>
        <s v="India"/>
        <s v="Poland"/>
        <s v="Indonesia"/>
        <s v="United Arab Emirates"/>
        <s v="Malaysia"/>
        <s v="Belgium"/>
        <s v="United Kingdom"/>
        <s v="Colombia"/>
        <s v="Thailand"/>
        <s v="Switzerland"/>
        <s v="Ukraine"/>
        <s v="Sweden"/>
        <s v="Denmark"/>
        <s v="Russia"/>
        <s v="Norway"/>
        <s v="South Korea"/>
        <s v="Mexico"/>
        <s v="Israel"/>
        <s v="Japan"/>
        <s v="Austria"/>
        <s v="South Africa"/>
        <s v="Netherlands"/>
        <s v="Spain"/>
        <s v="Czech Republic"/>
        <s v="New Zealand"/>
        <s v="Turkey"/>
        <s v="Chile"/>
        <s v="Brazil"/>
      </sharedItems>
    </cacheField>
    <cacheField name="City" numFmtId="0">
      <sharedItems count="220">
        <s v="Alexandria"/>
        <s v="Chicago"/>
        <s v="Manila"/>
        <s v="Hefei"/>
        <s v="Milan"/>
        <s v="Potomac"/>
        <s v="Sydney"/>
        <s v="Singapore"/>
        <s v="Newport Beach"/>
        <s v="Paris"/>
        <s v="Baoding"/>
        <s v="Indian Creek"/>
        <s v="Montreal"/>
        <s v="Cairo"/>
        <s v="Kuenzelsau"/>
        <s v="East Setauket"/>
        <s v="Rolling Hills"/>
        <s v="Woodside"/>
        <s v="Beijing"/>
        <s v="Lagos"/>
        <s v="San Francisco"/>
        <s v="Los Angeles"/>
        <s v="New York"/>
        <s v="Southampton"/>
        <s v="Hisar"/>
        <s v="Dallas"/>
        <s v="Kielce"/>
        <s v="Venice"/>
        <s v="Kudus"/>
        <s v="Delhi"/>
        <s v="Dubai"/>
        <s v="Hangzhou"/>
        <s v="Tegernsee"/>
        <s v="Kuala Lumpur"/>
        <s v="Shanghai"/>
        <s v="Yinchuan"/>
        <s v="Greenwich"/>
        <s v="Visbek"/>
        <s v="Brussels"/>
        <s v="San Jose"/>
        <s v="Shenzhen"/>
        <s v="Austin"/>
        <s v="Surrey"/>
        <s v="Atherton"/>
        <s v="Bentonville"/>
        <s v="Laval"/>
        <s v="Mumbai"/>
        <s v="Oklahoma City"/>
        <s v="Bogota"/>
        <s v="Bangkok"/>
        <s v="Heidelberg"/>
        <s v="London"/>
        <s v="Redlands"/>
        <s v="Springfield"/>
        <s v="Tulsa"/>
        <s v="Jona"/>
        <s v="Sands Point"/>
        <s v="Saint Petersburg"/>
        <s v="Atlanta"/>
        <s v="Marseille"/>
        <s v="Medina"/>
        <s v="Foshan"/>
        <s v="Donetsk"/>
        <s v="New Albany"/>
        <s v="Miami"/>
        <s v="Portage"/>
        <s v="Stockholm"/>
        <s v="Changsha"/>
        <s v="Billund"/>
        <s v="Guangzhou"/>
        <s v="Moscow"/>
        <s v="Boca Raton"/>
        <s v="Gothenberg"/>
        <s v="Redding"/>
        <s v="Naples"/>
        <s v="The Plains"/>
        <s v="Fort Worth"/>
        <s v="Neckarsulm"/>
        <s v="Philadelphia"/>
        <s v="North Palm Beach"/>
        <s v="Schindellegi"/>
        <s v="Lausanne"/>
        <s v="Geneva"/>
        <s v="Jackson"/>
        <s v="Reno"/>
        <s v="Oslo"/>
        <s v="Seattle"/>
        <s v="Lucerne"/>
        <s v="Hobe Sound"/>
        <s v="Darien"/>
        <s v="Perth"/>
        <s v="Gstaad"/>
        <s v="Hamburg"/>
        <s v="Haiger"/>
        <s v="Seoul"/>
        <s v="Ningde"/>
        <s v="Herzogenaurach"/>
        <s v="Palm Beach"/>
        <s v="Ningbo"/>
        <s v="Boston"/>
        <s v="Henderson"/>
        <s v="Martigny"/>
        <s v="Hunts Point"/>
        <s v="Mexico City"/>
        <s v="Adel"/>
        <s v="Tel Aviv"/>
        <s v="Wilen bei Wollerau"/>
        <s v="Wujiang"/>
        <s v="Chengdu"/>
        <s v="Midland"/>
        <s v="Crans-Montana"/>
        <s v="Afton"/>
        <s v="Bloomfield Hills"/>
        <s v="Houston"/>
        <s v="Tokyo"/>
        <s v="Branford"/>
        <s v="Vienna"/>
        <s v="Palo Alto"/>
        <s v="Toronto"/>
        <s v="Munich"/>
        <s v="Moscow region"/>
        <s v="Salzburg"/>
        <s v="Hampton"/>
        <s v="Saddle River"/>
        <s v="Bangalore"/>
        <s v="Katonah"/>
        <s v="Saint John"/>
        <s v="Changzhou"/>
        <s v="Beverly Hills"/>
        <s v="Haverford"/>
        <s v="Bloomington"/>
        <s v="Gloucestershire"/>
        <s v="Johannesburg"/>
        <s v="Quanzhou"/>
        <s v="Xingtai"/>
        <s v="New South Wales"/>
        <s v="Modena"/>
        <s v="Kolkata"/>
        <s v="Melbourne"/>
        <s v="Denver"/>
        <s v="Langfang"/>
        <s v="Magnitogorsk"/>
        <s v="Lanai"/>
        <s v="Chongqing"/>
        <s v="Huizhou"/>
        <s v="Port Washington"/>
        <s v="Verbier"/>
        <s v="Brookline"/>
        <s v="Scarsdale"/>
        <s v="Palisades"/>
        <s v="Feldmeilen"/>
        <s v="Wichita"/>
        <s v="Amsterdam"/>
        <s v="Ras Al Khaimah"/>
        <s v="Fiesole"/>
        <s v="Herzliya"/>
        <s v="Milton"/>
        <s v="Vancouver"/>
        <s v="Passau"/>
        <s v="Jakarta"/>
        <s v="Mulheim an der Ruhr"/>
        <s v="Pune"/>
        <s v="Xi'an"/>
        <s v="Bryn Mawr"/>
        <s v="Madison"/>
        <s v="East Hampton"/>
        <s v="Electra"/>
        <s v="La Coruna"/>
        <s v="St. Louis"/>
        <s v="Malibu"/>
        <s v="Eau Claire"/>
        <s v="Chevy Chase"/>
        <s v="Aarhus"/>
        <s v="Stoke-on-Trent"/>
        <s v="Cape Town"/>
        <s v="Osaka"/>
        <s v="Suzhou"/>
        <s v="Ulm"/>
        <s v="Ahmedabad"/>
        <s v="Keene"/>
        <s v="Frankfurt"/>
        <s v="Prague"/>
        <s v="Crans Montana"/>
        <s v="Los Altos"/>
        <s v="Bad Homburg"/>
        <s v="Bal Harbour"/>
        <s v="Auckland"/>
        <s v="Irvine"/>
        <s v="Omaha"/>
        <s v="Gladwyne"/>
        <s v="Elizabeth"/>
        <s v="Honolulu"/>
        <s v="Ruschlikon"/>
        <s v="Missoula"/>
        <s v="Newmarket"/>
        <s v="Las Vegas"/>
        <s v="Lyon"/>
        <s v="Franklin"/>
        <s v="Cary"/>
        <s v="San Antonio"/>
        <s v="Lianyungang"/>
        <s v="Istanbul"/>
        <s v="Humlebaek"/>
        <s v="Winnetka"/>
        <s v="Hillsboro"/>
        <s v="Frauenfeld"/>
        <s v="Miami Beach"/>
        <s v="Nanyang"/>
        <s v="Lighthouse Point"/>
        <s v="Santa Barbara"/>
        <s v="St. Gallen"/>
        <s v="Santiago"/>
        <s v="Incline Village"/>
        <s v="Nashville"/>
        <s v="Newport Coast"/>
        <s v="Zurich"/>
        <s v="Binzhou"/>
        <s v="Sao Paulo"/>
        <s v="Millburn"/>
        <s v="Lexington"/>
      </sharedItems>
    </cacheField>
    <cacheField name="Customer Name" numFmtId="0">
      <sharedItems/>
    </cacheField>
    <cacheField name="Month" numFmtId="0">
      <sharedItems count="12">
        <s v="January"/>
        <s v="September"/>
        <s v="December"/>
        <s v="August"/>
        <s v="October"/>
        <s v="July"/>
        <s v="February"/>
        <s v="March"/>
        <s v="April"/>
        <s v="November"/>
        <s v="June"/>
        <s v="May"/>
      </sharedItems>
    </cacheField>
    <cacheField name="Quantity(Stp)" numFmtId="0">
      <sharedItems containsSemiMixedTypes="0" containsString="0" containsNumber="1" containsInteger="1" minValue="503" maxValue="9986"/>
    </cacheField>
    <cacheField name="Rate(Stp)" numFmtId="0">
      <sharedItems containsSemiMixedTypes="0" containsString="0" containsNumber="1" containsInteger="1" minValue="150" maxValue="2000"/>
    </cacheField>
    <cacheField name="Amount" numFmtId="0">
      <sharedItems containsSemiMixedTypes="0" containsString="0" containsNumber="1" containsInteger="1" minValue="99900" maxValue="19850000"/>
    </cacheField>
    <cacheField name="Cash/Online" numFmtId="0">
      <sharedItems count="2">
        <s v="Online"/>
        <s v="Cash"/>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474">
  <r>
    <x v="0"/>
    <x v="0"/>
    <x v="0"/>
    <x v="0"/>
    <s v="Valerie Mars"/>
    <x v="0"/>
    <n v="7436"/>
    <n v="550"/>
    <n v="4089800"/>
    <x v="0"/>
  </r>
  <r>
    <x v="1"/>
    <x v="0"/>
    <x v="0"/>
    <x v="1"/>
    <s v="Alain Bouchard"/>
    <x v="1"/>
    <n v="2570"/>
    <n v="1440"/>
    <n v="3700800"/>
    <x v="0"/>
  </r>
  <r>
    <x v="2"/>
    <x v="1"/>
    <x v="1"/>
    <x v="2"/>
    <s v="Andreas von Bechtolsheim &amp; family"/>
    <x v="2"/>
    <n v="7347"/>
    <n v="250"/>
    <n v="1836750"/>
    <x v="0"/>
  </r>
  <r>
    <x v="3"/>
    <x v="0"/>
    <x v="2"/>
    <x v="3"/>
    <s v="Hasmukh Chudgar &amp; family"/>
    <x v="3"/>
    <n v="2964"/>
    <n v="450"/>
    <n v="1333800"/>
    <x v="1"/>
  </r>
  <r>
    <x v="0"/>
    <x v="2"/>
    <x v="3"/>
    <x v="4"/>
    <s v="Denise Coates"/>
    <x v="4"/>
    <n v="9799"/>
    <n v="550"/>
    <n v="5389450"/>
    <x v="1"/>
  </r>
  <r>
    <x v="4"/>
    <x v="1"/>
    <x v="0"/>
    <x v="5"/>
    <s v="Katharine Rayner"/>
    <x v="5"/>
    <n v="4465"/>
    <n v="800"/>
    <n v="3572000"/>
    <x v="0"/>
  </r>
  <r>
    <x v="0"/>
    <x v="3"/>
    <x v="4"/>
    <x v="6"/>
    <s v="Quek Leng Chan"/>
    <x v="6"/>
    <n v="4140"/>
    <n v="550"/>
    <n v="2277000"/>
    <x v="0"/>
  </r>
  <r>
    <x v="5"/>
    <x v="3"/>
    <x v="5"/>
    <x v="7"/>
    <s v="Miao Hangen"/>
    <x v="7"/>
    <n v="9282"/>
    <n v="1000"/>
    <n v="9282000"/>
    <x v="0"/>
  </r>
  <r>
    <x v="6"/>
    <x v="0"/>
    <x v="0"/>
    <x v="8"/>
    <s v="Reinhold Schmieding"/>
    <x v="5"/>
    <n v="8287"/>
    <n v="1600"/>
    <n v="13259200"/>
    <x v="1"/>
  </r>
  <r>
    <x v="0"/>
    <x v="3"/>
    <x v="6"/>
    <x v="9"/>
    <s v="Tilman Fertitta"/>
    <x v="5"/>
    <n v="5965"/>
    <n v="550"/>
    <n v="3280750"/>
    <x v="1"/>
  </r>
  <r>
    <x v="0"/>
    <x v="3"/>
    <x v="2"/>
    <x v="10"/>
    <s v="Goh Cheng Liang"/>
    <x v="8"/>
    <n v="9535"/>
    <n v="550"/>
    <n v="5244250"/>
    <x v="1"/>
  </r>
  <r>
    <x v="7"/>
    <x v="2"/>
    <x v="1"/>
    <x v="2"/>
    <s v="Wang Laichun"/>
    <x v="4"/>
    <n v="2027"/>
    <n v="700"/>
    <n v="1418900"/>
    <x v="1"/>
  </r>
  <r>
    <x v="2"/>
    <x v="1"/>
    <x v="0"/>
    <x v="11"/>
    <s v="Savitri Jindal &amp; family"/>
    <x v="9"/>
    <n v="5481"/>
    <n v="250"/>
    <n v="1370250"/>
    <x v="1"/>
  </r>
  <r>
    <x v="8"/>
    <x v="1"/>
    <x v="7"/>
    <x v="12"/>
    <s v="Jay Chaudhry"/>
    <x v="2"/>
    <n v="1876"/>
    <n v="2000"/>
    <n v="3752000"/>
    <x v="1"/>
  </r>
  <r>
    <x v="5"/>
    <x v="1"/>
    <x v="8"/>
    <x v="13"/>
    <s v="Harry Stine"/>
    <x v="0"/>
    <n v="8827"/>
    <n v="1000"/>
    <n v="8827000"/>
    <x v="0"/>
  </r>
  <r>
    <x v="0"/>
    <x v="0"/>
    <x v="9"/>
    <x v="14"/>
    <s v="Jeff Yass"/>
    <x v="8"/>
    <n v="5990"/>
    <n v="550"/>
    <n v="3294500"/>
    <x v="1"/>
  </r>
  <r>
    <x v="5"/>
    <x v="1"/>
    <x v="0"/>
    <x v="15"/>
    <s v="Stephen Schwarzman"/>
    <x v="8"/>
    <n v="8579"/>
    <n v="1000"/>
    <n v="8579000"/>
    <x v="1"/>
  </r>
  <r>
    <x v="9"/>
    <x v="2"/>
    <x v="0"/>
    <x v="16"/>
    <s v="Xu Shihui"/>
    <x v="7"/>
    <n v="9283"/>
    <n v="150"/>
    <n v="1392450"/>
    <x v="0"/>
  </r>
  <r>
    <x v="5"/>
    <x v="1"/>
    <x v="0"/>
    <x v="17"/>
    <s v="Richard Liu"/>
    <x v="8"/>
    <n v="7698"/>
    <n v="1000"/>
    <n v="7698000"/>
    <x v="0"/>
  </r>
  <r>
    <x v="0"/>
    <x v="0"/>
    <x v="6"/>
    <x v="9"/>
    <s v="Elon Musk"/>
    <x v="10"/>
    <n v="7317"/>
    <n v="550"/>
    <n v="4024350"/>
    <x v="1"/>
  </r>
  <r>
    <x v="4"/>
    <x v="1"/>
    <x v="2"/>
    <x v="18"/>
    <s v="Brian Chesky"/>
    <x v="3"/>
    <n v="2980"/>
    <n v="800"/>
    <n v="2384000"/>
    <x v="0"/>
  </r>
  <r>
    <x v="10"/>
    <x v="3"/>
    <x v="10"/>
    <x v="19"/>
    <s v="Tom Gores"/>
    <x v="6"/>
    <n v="5883"/>
    <n v="1500"/>
    <n v="8824500"/>
    <x v="1"/>
  </r>
  <r>
    <x v="5"/>
    <x v="2"/>
    <x v="0"/>
    <x v="20"/>
    <s v="Patrick Collison"/>
    <x v="11"/>
    <n v="5122"/>
    <n v="1000"/>
    <n v="5122000"/>
    <x v="0"/>
  </r>
  <r>
    <x v="5"/>
    <x v="3"/>
    <x v="0"/>
    <x v="21"/>
    <s v="Ibrahim Erdemoglu"/>
    <x v="1"/>
    <n v="7636"/>
    <n v="1000"/>
    <n v="7636000"/>
    <x v="1"/>
  </r>
  <r>
    <x v="11"/>
    <x v="1"/>
    <x v="0"/>
    <x v="22"/>
    <s v="Jim Walton"/>
    <x v="6"/>
    <n v="3461"/>
    <n v="650"/>
    <n v="2249650"/>
    <x v="0"/>
  </r>
  <r>
    <x v="4"/>
    <x v="2"/>
    <x v="0"/>
    <x v="23"/>
    <s v="Richard White"/>
    <x v="3"/>
    <n v="8894"/>
    <n v="800"/>
    <n v="7115200"/>
    <x v="1"/>
  </r>
  <r>
    <x v="6"/>
    <x v="0"/>
    <x v="11"/>
    <x v="24"/>
    <s v="Donald Bren"/>
    <x v="5"/>
    <n v="1688"/>
    <n v="1600"/>
    <n v="2700800"/>
    <x v="0"/>
  </r>
  <r>
    <x v="1"/>
    <x v="2"/>
    <x v="0"/>
    <x v="25"/>
    <s v="Christopher Hohn"/>
    <x v="11"/>
    <n v="8535"/>
    <n v="1440"/>
    <n v="12290400"/>
    <x v="0"/>
  </r>
  <r>
    <x v="2"/>
    <x v="1"/>
    <x v="12"/>
    <x v="26"/>
    <s v="Mike Adenuga"/>
    <x v="10"/>
    <n v="1027"/>
    <n v="250"/>
    <n v="256750"/>
    <x v="0"/>
  </r>
  <r>
    <x v="11"/>
    <x v="0"/>
    <x v="3"/>
    <x v="27"/>
    <s v="Margaretta Taylor"/>
    <x v="2"/>
    <n v="608"/>
    <n v="650"/>
    <n v="395200"/>
    <x v="1"/>
  </r>
  <r>
    <x v="8"/>
    <x v="0"/>
    <x v="13"/>
    <x v="28"/>
    <s v="James Ratcliffe"/>
    <x v="5"/>
    <n v="9536"/>
    <n v="2000"/>
    <n v="19072000"/>
    <x v="1"/>
  </r>
  <r>
    <x v="7"/>
    <x v="1"/>
    <x v="11"/>
    <x v="29"/>
    <s v="Ken Langone"/>
    <x v="2"/>
    <n v="3474"/>
    <n v="700"/>
    <n v="2431800"/>
    <x v="0"/>
  </r>
  <r>
    <x v="5"/>
    <x v="2"/>
    <x v="0"/>
    <x v="22"/>
    <s v="Pavel Durov"/>
    <x v="3"/>
    <n v="1593"/>
    <n v="1000"/>
    <n v="1593000"/>
    <x v="1"/>
  </r>
  <r>
    <x v="8"/>
    <x v="1"/>
    <x v="14"/>
    <x v="30"/>
    <s v="Nicolas Puech"/>
    <x v="9"/>
    <n v="1518"/>
    <n v="2000"/>
    <n v="3036000"/>
    <x v="0"/>
  </r>
  <r>
    <x v="11"/>
    <x v="0"/>
    <x v="2"/>
    <x v="31"/>
    <s v="Magdalena Martullo-Blocher"/>
    <x v="8"/>
    <n v="4340"/>
    <n v="650"/>
    <n v="2821000"/>
    <x v="1"/>
  </r>
  <r>
    <x v="8"/>
    <x v="1"/>
    <x v="9"/>
    <x v="32"/>
    <s v="Liu Hanyuan"/>
    <x v="2"/>
    <n v="8155"/>
    <n v="2000"/>
    <n v="16310000"/>
    <x v="0"/>
  </r>
  <r>
    <x v="0"/>
    <x v="0"/>
    <x v="15"/>
    <x v="33"/>
    <s v="Wu Yajun"/>
    <x v="4"/>
    <n v="9224"/>
    <n v="550"/>
    <n v="5073200"/>
    <x v="1"/>
  </r>
  <r>
    <x v="10"/>
    <x v="0"/>
    <x v="2"/>
    <x v="34"/>
    <s v="Yao Liangsong"/>
    <x v="11"/>
    <n v="5619"/>
    <n v="1500"/>
    <n v="8428500"/>
    <x v="1"/>
  </r>
  <r>
    <x v="10"/>
    <x v="1"/>
    <x v="0"/>
    <x v="22"/>
    <s v="Ray Lee Hunt"/>
    <x v="5"/>
    <n v="6101"/>
    <n v="1500"/>
    <n v="9151500"/>
    <x v="1"/>
  </r>
  <r>
    <x v="0"/>
    <x v="0"/>
    <x v="2"/>
    <x v="35"/>
    <s v="Jiang Rensheng &amp; family"/>
    <x v="11"/>
    <n v="6504"/>
    <n v="550"/>
    <n v="3577200"/>
    <x v="1"/>
  </r>
  <r>
    <x v="4"/>
    <x v="1"/>
    <x v="0"/>
    <x v="1"/>
    <s v="Ronald Wanek"/>
    <x v="6"/>
    <n v="2956"/>
    <n v="800"/>
    <n v="2364800"/>
    <x v="0"/>
  </r>
  <r>
    <x v="9"/>
    <x v="0"/>
    <x v="0"/>
    <x v="36"/>
    <s v="Eric Li"/>
    <x v="2"/>
    <n v="6118"/>
    <n v="150"/>
    <n v="917700"/>
    <x v="1"/>
  </r>
  <r>
    <x v="0"/>
    <x v="0"/>
    <x v="9"/>
    <x v="37"/>
    <s v="M.A. Yusuff Ali"/>
    <x v="7"/>
    <n v="6242"/>
    <n v="550"/>
    <n v="3433100"/>
    <x v="1"/>
  </r>
  <r>
    <x v="6"/>
    <x v="0"/>
    <x v="16"/>
    <x v="38"/>
    <s v="Jacqueline Mars"/>
    <x v="4"/>
    <n v="1753"/>
    <n v="1600"/>
    <n v="2804800"/>
    <x v="0"/>
  </r>
  <r>
    <x v="5"/>
    <x v="1"/>
    <x v="2"/>
    <x v="18"/>
    <s v="Patrizio Bertelli"/>
    <x v="5"/>
    <n v="6720"/>
    <n v="1000"/>
    <n v="6720000"/>
    <x v="1"/>
  </r>
  <r>
    <x v="9"/>
    <x v="0"/>
    <x v="0"/>
    <x v="1"/>
    <s v="Wang Wei"/>
    <x v="3"/>
    <n v="4049"/>
    <n v="150"/>
    <n v="607350"/>
    <x v="0"/>
  </r>
  <r>
    <x v="10"/>
    <x v="2"/>
    <x v="0"/>
    <x v="22"/>
    <s v="Victoria Mars"/>
    <x v="1"/>
    <n v="2419"/>
    <n v="1500"/>
    <n v="3628500"/>
    <x v="0"/>
  </r>
  <r>
    <x v="4"/>
    <x v="1"/>
    <x v="0"/>
    <x v="39"/>
    <s v="Radhakishan Damani"/>
    <x v="11"/>
    <n v="8507"/>
    <n v="800"/>
    <n v="6805600"/>
    <x v="1"/>
  </r>
  <r>
    <x v="7"/>
    <x v="1"/>
    <x v="2"/>
    <x v="40"/>
    <s v="Jensen Huang"/>
    <x v="1"/>
    <n v="2495"/>
    <n v="700"/>
    <n v="1746500"/>
    <x v="1"/>
  </r>
  <r>
    <x v="6"/>
    <x v="3"/>
    <x v="0"/>
    <x v="41"/>
    <s v="Philip Ng"/>
    <x v="6"/>
    <n v="6739"/>
    <n v="1600"/>
    <n v="10782400"/>
    <x v="1"/>
  </r>
  <r>
    <x v="0"/>
    <x v="1"/>
    <x v="0"/>
    <x v="25"/>
    <s v="Mike Cannon-Brookes"/>
    <x v="10"/>
    <n v="7699"/>
    <n v="550"/>
    <n v="4234450"/>
    <x v="1"/>
  </r>
  <r>
    <x v="8"/>
    <x v="1"/>
    <x v="17"/>
    <x v="42"/>
    <s v="Kirsten Rausing"/>
    <x v="7"/>
    <n v="9925"/>
    <n v="2000"/>
    <n v="19850000"/>
    <x v="0"/>
  </r>
  <r>
    <x v="4"/>
    <x v="3"/>
    <x v="10"/>
    <x v="19"/>
    <s v="Idan Ofer"/>
    <x v="4"/>
    <n v="8736"/>
    <n v="800"/>
    <n v="6988800"/>
    <x v="0"/>
  </r>
  <r>
    <x v="4"/>
    <x v="0"/>
    <x v="6"/>
    <x v="9"/>
    <s v="Larry Page"/>
    <x v="3"/>
    <n v="5042"/>
    <n v="800"/>
    <n v="4033600"/>
    <x v="0"/>
  </r>
  <r>
    <x v="10"/>
    <x v="1"/>
    <x v="0"/>
    <x v="43"/>
    <s v="Michael Platt"/>
    <x v="7"/>
    <n v="4245"/>
    <n v="1500"/>
    <n v="6367500"/>
    <x v="0"/>
  </r>
  <r>
    <x v="1"/>
    <x v="0"/>
    <x v="2"/>
    <x v="40"/>
    <s v="Philip Anschutz"/>
    <x v="0"/>
    <n v="7489"/>
    <n v="1440"/>
    <n v="10784160"/>
    <x v="0"/>
  </r>
  <r>
    <x v="8"/>
    <x v="2"/>
    <x v="0"/>
    <x v="22"/>
    <s v="Ann Walton Kroenke"/>
    <x v="11"/>
    <n v="675"/>
    <n v="2000"/>
    <n v="1350000"/>
    <x v="1"/>
  </r>
  <r>
    <x v="0"/>
    <x v="0"/>
    <x v="0"/>
    <x v="44"/>
    <s v="Alice Walton"/>
    <x v="4"/>
    <n v="5824"/>
    <n v="550"/>
    <n v="3203200"/>
    <x v="0"/>
  </r>
  <r>
    <x v="10"/>
    <x v="1"/>
    <x v="6"/>
    <x v="45"/>
    <s v="Abigail Johnson"/>
    <x v="8"/>
    <n v="3148"/>
    <n v="1500"/>
    <n v="4722000"/>
    <x v="0"/>
  </r>
  <r>
    <x v="0"/>
    <x v="2"/>
    <x v="14"/>
    <x v="30"/>
    <s v="Andrew Beal"/>
    <x v="5"/>
    <n v="4640"/>
    <n v="550"/>
    <n v="2552000"/>
    <x v="1"/>
  </r>
  <r>
    <x v="9"/>
    <x v="1"/>
    <x v="11"/>
    <x v="46"/>
    <s v="Sumet Jiaravanon"/>
    <x v="1"/>
    <n v="5930"/>
    <n v="150"/>
    <n v="889500"/>
    <x v="1"/>
  </r>
  <r>
    <x v="11"/>
    <x v="1"/>
    <x v="0"/>
    <x v="47"/>
    <s v="David Tepper"/>
    <x v="2"/>
    <n v="9208"/>
    <n v="650"/>
    <n v="5985200"/>
    <x v="1"/>
  </r>
  <r>
    <x v="3"/>
    <x v="2"/>
    <x v="18"/>
    <x v="48"/>
    <s v="Dennis Washington"/>
    <x v="9"/>
    <n v="9979"/>
    <n v="450"/>
    <n v="4490550"/>
    <x v="0"/>
  </r>
  <r>
    <x v="7"/>
    <x v="1"/>
    <x v="19"/>
    <x v="49"/>
    <s v="Andreas Halvorsen"/>
    <x v="11"/>
    <n v="1179"/>
    <n v="700"/>
    <n v="825300"/>
    <x v="1"/>
  </r>
  <r>
    <x v="4"/>
    <x v="0"/>
    <x v="9"/>
    <x v="50"/>
    <s v="Carlos Alberto Sicupira &amp; family"/>
    <x v="8"/>
    <n v="6207"/>
    <n v="800"/>
    <n v="4965600"/>
    <x v="1"/>
  </r>
  <r>
    <x v="6"/>
    <x v="2"/>
    <x v="11"/>
    <x v="46"/>
    <s v="Aliko Dangote"/>
    <x v="1"/>
    <n v="8221"/>
    <n v="1600"/>
    <n v="13153600"/>
    <x v="0"/>
  </r>
  <r>
    <x v="2"/>
    <x v="0"/>
    <x v="2"/>
    <x v="31"/>
    <s v="He Xiangjian &amp; family"/>
    <x v="6"/>
    <n v="3413"/>
    <n v="250"/>
    <n v="853250"/>
    <x v="0"/>
  </r>
  <r>
    <x v="4"/>
    <x v="0"/>
    <x v="17"/>
    <x v="51"/>
    <s v="Alain Wertheimer"/>
    <x v="3"/>
    <n v="995"/>
    <n v="800"/>
    <n v="796000"/>
    <x v="1"/>
  </r>
  <r>
    <x v="0"/>
    <x v="1"/>
    <x v="0"/>
    <x v="22"/>
    <s v="Dirk Ziff"/>
    <x v="5"/>
    <n v="9824"/>
    <n v="550"/>
    <n v="5403200"/>
    <x v="0"/>
  </r>
  <r>
    <x v="2"/>
    <x v="3"/>
    <x v="0"/>
    <x v="52"/>
    <s v="Ashwin Dani &amp; family"/>
    <x v="4"/>
    <n v="9323"/>
    <n v="250"/>
    <n v="2330750"/>
    <x v="0"/>
  </r>
  <r>
    <x v="1"/>
    <x v="1"/>
    <x v="0"/>
    <x v="53"/>
    <s v="German Khan"/>
    <x v="7"/>
    <n v="7486"/>
    <n v="1440"/>
    <n v="10779840"/>
    <x v="1"/>
  </r>
  <r>
    <x v="10"/>
    <x v="3"/>
    <x v="0"/>
    <x v="54"/>
    <s v="Lu Xiangyang"/>
    <x v="7"/>
    <n v="4045"/>
    <n v="1500"/>
    <n v="6067500"/>
    <x v="1"/>
  </r>
  <r>
    <x v="0"/>
    <x v="0"/>
    <x v="20"/>
    <x v="55"/>
    <s v="Daniel Ziff"/>
    <x v="1"/>
    <n v="8292"/>
    <n v="550"/>
    <n v="4560600"/>
    <x v="0"/>
  </r>
  <r>
    <x v="10"/>
    <x v="2"/>
    <x v="0"/>
    <x v="56"/>
    <s v="Li Ge"/>
    <x v="11"/>
    <n v="5831"/>
    <n v="1500"/>
    <n v="8746500"/>
    <x v="1"/>
  </r>
  <r>
    <x v="1"/>
    <x v="3"/>
    <x v="0"/>
    <x v="57"/>
    <s v="Erich Wesjohann &amp; family"/>
    <x v="6"/>
    <n v="1443"/>
    <n v="1440"/>
    <n v="2077920"/>
    <x v="0"/>
  </r>
  <r>
    <x v="10"/>
    <x v="1"/>
    <x v="0"/>
    <x v="25"/>
    <s v="George Kaiser"/>
    <x v="0"/>
    <n v="948"/>
    <n v="1500"/>
    <n v="1422000"/>
    <x v="0"/>
  </r>
  <r>
    <x v="5"/>
    <x v="1"/>
    <x v="0"/>
    <x v="22"/>
    <s v="Carlos Slim Helu &amp; family"/>
    <x v="10"/>
    <n v="4459"/>
    <n v="1000"/>
    <n v="4459000"/>
    <x v="0"/>
  </r>
  <r>
    <x v="4"/>
    <x v="3"/>
    <x v="0"/>
    <x v="58"/>
    <s v="Mark Walter"/>
    <x v="7"/>
    <n v="1784"/>
    <n v="800"/>
    <n v="1427200"/>
    <x v="0"/>
  </r>
  <r>
    <x v="6"/>
    <x v="2"/>
    <x v="0"/>
    <x v="58"/>
    <s v="Charles Butt"/>
    <x v="2"/>
    <n v="8157"/>
    <n v="1600"/>
    <n v="13051200"/>
    <x v="0"/>
  </r>
  <r>
    <x v="2"/>
    <x v="3"/>
    <x v="6"/>
    <x v="59"/>
    <s v="Tanya Saadé Zeenny"/>
    <x v="3"/>
    <n v="2361"/>
    <n v="250"/>
    <n v="590250"/>
    <x v="1"/>
  </r>
  <r>
    <x v="3"/>
    <x v="3"/>
    <x v="0"/>
    <x v="60"/>
    <s v="Michael Bloomberg"/>
    <x v="8"/>
    <n v="9933"/>
    <n v="450"/>
    <n v="4469850"/>
    <x v="0"/>
  </r>
  <r>
    <x v="4"/>
    <x v="3"/>
    <x v="5"/>
    <x v="7"/>
    <s v="Steven Rales"/>
    <x v="2"/>
    <n v="579"/>
    <n v="800"/>
    <n v="463200"/>
    <x v="0"/>
  </r>
  <r>
    <x v="2"/>
    <x v="3"/>
    <x v="0"/>
    <x v="20"/>
    <s v="Pierre Omidyar"/>
    <x v="11"/>
    <n v="6513"/>
    <n v="250"/>
    <n v="1628250"/>
    <x v="1"/>
  </r>
  <r>
    <x v="0"/>
    <x v="3"/>
    <x v="2"/>
    <x v="61"/>
    <s v="Iris Fontbona &amp; family"/>
    <x v="7"/>
    <n v="7751"/>
    <n v="550"/>
    <n v="4263050"/>
    <x v="0"/>
  </r>
  <r>
    <x v="8"/>
    <x v="2"/>
    <x v="21"/>
    <x v="62"/>
    <s v="John Brown"/>
    <x v="3"/>
    <n v="6287"/>
    <n v="2000"/>
    <n v="12574000"/>
    <x v="0"/>
  </r>
  <r>
    <x v="8"/>
    <x v="3"/>
    <x v="0"/>
    <x v="63"/>
    <s v="Cai Kui"/>
    <x v="7"/>
    <n v="2540"/>
    <n v="2000"/>
    <n v="5080000"/>
    <x v="0"/>
  </r>
  <r>
    <x v="0"/>
    <x v="0"/>
    <x v="0"/>
    <x v="64"/>
    <s v="Mark Mateschitz"/>
    <x v="7"/>
    <n v="6802"/>
    <n v="550"/>
    <n v="3741100"/>
    <x v="0"/>
  </r>
  <r>
    <x v="0"/>
    <x v="2"/>
    <x v="0"/>
    <x v="25"/>
    <s v="Teddy Sagi"/>
    <x v="2"/>
    <n v="543"/>
    <n v="550"/>
    <n v="298650"/>
    <x v="0"/>
  </r>
  <r>
    <x v="11"/>
    <x v="0"/>
    <x v="0"/>
    <x v="65"/>
    <s v="Dannine Avara"/>
    <x v="10"/>
    <n v="7693"/>
    <n v="650"/>
    <n v="5000450"/>
    <x v="0"/>
  </r>
  <r>
    <x v="4"/>
    <x v="1"/>
    <x v="22"/>
    <x v="66"/>
    <s v="Frits Goldschmeding"/>
    <x v="1"/>
    <n v="2049"/>
    <n v="800"/>
    <n v="1639200"/>
    <x v="0"/>
  </r>
  <r>
    <x v="9"/>
    <x v="2"/>
    <x v="2"/>
    <x v="67"/>
    <s v="John Fredriksen"/>
    <x v="0"/>
    <n v="9728"/>
    <n v="150"/>
    <n v="1459200"/>
    <x v="1"/>
  </r>
  <r>
    <x v="6"/>
    <x v="3"/>
    <x v="23"/>
    <x v="68"/>
    <s v="Sofie Kirk Kristiansen"/>
    <x v="7"/>
    <n v="5982"/>
    <n v="1600"/>
    <n v="9571200"/>
    <x v="0"/>
  </r>
  <r>
    <x v="10"/>
    <x v="3"/>
    <x v="2"/>
    <x v="69"/>
    <s v="Jean-Michel Besnier"/>
    <x v="2"/>
    <n v="7162"/>
    <n v="1500"/>
    <n v="10743000"/>
    <x v="0"/>
  </r>
  <r>
    <x v="4"/>
    <x v="1"/>
    <x v="24"/>
    <x v="70"/>
    <s v="Bernard Marcus"/>
    <x v="11"/>
    <n v="595"/>
    <n v="800"/>
    <n v="476000"/>
    <x v="0"/>
  </r>
  <r>
    <x v="3"/>
    <x v="2"/>
    <x v="0"/>
    <x v="71"/>
    <s v="Edward Roski, Jr."/>
    <x v="9"/>
    <n v="2194"/>
    <n v="450"/>
    <n v="987300"/>
    <x v="1"/>
  </r>
  <r>
    <x v="6"/>
    <x v="2"/>
    <x v="0"/>
    <x v="21"/>
    <s v="David Steward"/>
    <x v="4"/>
    <n v="3324"/>
    <n v="1600"/>
    <n v="5318400"/>
    <x v="0"/>
  </r>
  <r>
    <x v="2"/>
    <x v="1"/>
    <x v="22"/>
    <x v="72"/>
    <s v="Stephen Bisciotti"/>
    <x v="4"/>
    <n v="1514"/>
    <n v="250"/>
    <n v="378500"/>
    <x v="1"/>
  </r>
  <r>
    <x v="6"/>
    <x v="2"/>
    <x v="0"/>
    <x v="73"/>
    <s v="Piero Ferrari"/>
    <x v="8"/>
    <n v="9162"/>
    <n v="1600"/>
    <n v="14659200"/>
    <x v="0"/>
  </r>
  <r>
    <x v="10"/>
    <x v="1"/>
    <x v="0"/>
    <x v="74"/>
    <s v="Laurene Powell Jobs &amp; family"/>
    <x v="9"/>
    <n v="2107"/>
    <n v="1500"/>
    <n v="3160500"/>
    <x v="1"/>
  </r>
  <r>
    <x v="8"/>
    <x v="0"/>
    <x v="0"/>
    <x v="75"/>
    <s v="John Mars"/>
    <x v="11"/>
    <n v="6805"/>
    <n v="2000"/>
    <n v="13610000"/>
    <x v="0"/>
  </r>
  <r>
    <x v="0"/>
    <x v="1"/>
    <x v="0"/>
    <x v="76"/>
    <s v="Melinda French Gates"/>
    <x v="7"/>
    <n v="3227"/>
    <n v="550"/>
    <n v="1774850"/>
    <x v="1"/>
  </r>
  <r>
    <x v="2"/>
    <x v="0"/>
    <x v="9"/>
    <x v="77"/>
    <s v="François Pinault &amp; family"/>
    <x v="11"/>
    <n v="8684"/>
    <n v="250"/>
    <n v="2171000"/>
    <x v="0"/>
  </r>
  <r>
    <x v="11"/>
    <x v="2"/>
    <x v="0"/>
    <x v="78"/>
    <s v="Vincent Bolloré &amp; family"/>
    <x v="1"/>
    <n v="8431"/>
    <n v="650"/>
    <n v="5480150"/>
    <x v="0"/>
  </r>
  <r>
    <x v="3"/>
    <x v="0"/>
    <x v="0"/>
    <x v="79"/>
    <s v="Robert Ziff"/>
    <x v="11"/>
    <n v="8964"/>
    <n v="450"/>
    <n v="4033800"/>
    <x v="1"/>
  </r>
  <r>
    <x v="6"/>
    <x v="0"/>
    <x v="20"/>
    <x v="80"/>
    <s v="Giovanni Ferrero"/>
    <x v="4"/>
    <n v="2728"/>
    <n v="1600"/>
    <n v="4364800"/>
    <x v="0"/>
  </r>
  <r>
    <x v="5"/>
    <x v="1"/>
    <x v="2"/>
    <x v="69"/>
    <s v="Harry Triguboff"/>
    <x v="9"/>
    <n v="6519"/>
    <n v="1000"/>
    <n v="6519000"/>
    <x v="1"/>
  </r>
  <r>
    <x v="8"/>
    <x v="0"/>
    <x v="20"/>
    <x v="81"/>
    <s v="Wee Cho Yaw"/>
    <x v="8"/>
    <n v="7764"/>
    <n v="2000"/>
    <n v="15528000"/>
    <x v="0"/>
  </r>
  <r>
    <x v="8"/>
    <x v="1"/>
    <x v="0"/>
    <x v="20"/>
    <s v="Leonid Fedun"/>
    <x v="8"/>
    <n v="5201"/>
    <n v="2000"/>
    <n v="10402000"/>
    <x v="0"/>
  </r>
  <r>
    <x v="4"/>
    <x v="0"/>
    <x v="20"/>
    <x v="82"/>
    <s v="Colin Zheng Huang"/>
    <x v="10"/>
    <n v="4800"/>
    <n v="800"/>
    <n v="3840000"/>
    <x v="1"/>
  </r>
  <r>
    <x v="5"/>
    <x v="3"/>
    <x v="0"/>
    <x v="43"/>
    <s v="Kushal Pal Singh"/>
    <x v="4"/>
    <n v="1515"/>
    <n v="1000"/>
    <n v="1515000"/>
    <x v="0"/>
  </r>
  <r>
    <x v="6"/>
    <x v="3"/>
    <x v="0"/>
    <x v="83"/>
    <s v="Ma Huateng"/>
    <x v="10"/>
    <n v="8570"/>
    <n v="1600"/>
    <n v="13712000"/>
    <x v="1"/>
  </r>
  <r>
    <x v="5"/>
    <x v="3"/>
    <x v="0"/>
    <x v="84"/>
    <s v="Gopikishan Damani"/>
    <x v="8"/>
    <n v="2142"/>
    <n v="1000"/>
    <n v="2142000"/>
    <x v="1"/>
  </r>
  <r>
    <x v="1"/>
    <x v="0"/>
    <x v="25"/>
    <x v="85"/>
    <s v="Cao Renxian"/>
    <x v="4"/>
    <n v="4565"/>
    <n v="1440"/>
    <n v="6573600"/>
    <x v="0"/>
  </r>
  <r>
    <x v="7"/>
    <x v="2"/>
    <x v="5"/>
    <x v="7"/>
    <s v="Kumar Birla"/>
    <x v="2"/>
    <n v="8618"/>
    <n v="700"/>
    <n v="6032600"/>
    <x v="0"/>
  </r>
  <r>
    <x v="3"/>
    <x v="1"/>
    <x v="0"/>
    <x v="86"/>
    <s v="R. Budi Hartono"/>
    <x v="9"/>
    <n v="6622"/>
    <n v="450"/>
    <n v="2979900"/>
    <x v="1"/>
  </r>
  <r>
    <x v="2"/>
    <x v="1"/>
    <x v="20"/>
    <x v="87"/>
    <s v="Miuccia Prada"/>
    <x v="0"/>
    <n v="3896"/>
    <n v="250"/>
    <n v="974000"/>
    <x v="0"/>
  </r>
  <r>
    <x v="6"/>
    <x v="1"/>
    <x v="0"/>
    <x v="41"/>
    <s v="Pavel Tykac"/>
    <x v="0"/>
    <n v="2839"/>
    <n v="1600"/>
    <n v="4542400"/>
    <x v="0"/>
  </r>
  <r>
    <x v="5"/>
    <x v="0"/>
    <x v="6"/>
    <x v="9"/>
    <s v="Luis Carlos Sarmiento"/>
    <x v="4"/>
    <n v="8676"/>
    <n v="1000"/>
    <n v="8676000"/>
    <x v="0"/>
  </r>
  <r>
    <x v="11"/>
    <x v="3"/>
    <x v="9"/>
    <x v="32"/>
    <s v="Thomas Struengmann &amp; family"/>
    <x v="5"/>
    <n v="1720"/>
    <n v="650"/>
    <n v="1118000"/>
    <x v="0"/>
  </r>
  <r>
    <x v="6"/>
    <x v="2"/>
    <x v="2"/>
    <x v="40"/>
    <s v="Harold Hamm &amp; family"/>
    <x v="4"/>
    <n v="9832"/>
    <n v="1600"/>
    <n v="15731200"/>
    <x v="1"/>
  </r>
  <r>
    <x v="4"/>
    <x v="1"/>
    <x v="0"/>
    <x v="88"/>
    <s v="Stanley Druckenmiller"/>
    <x v="4"/>
    <n v="9031"/>
    <n v="800"/>
    <n v="7224800"/>
    <x v="1"/>
  </r>
  <r>
    <x v="0"/>
    <x v="1"/>
    <x v="0"/>
    <x v="89"/>
    <s v="Rick Caruso"/>
    <x v="0"/>
    <n v="4028"/>
    <n v="550"/>
    <n v="2215400"/>
    <x v="0"/>
  </r>
  <r>
    <x v="8"/>
    <x v="0"/>
    <x v="4"/>
    <x v="90"/>
    <s v="William Ding"/>
    <x v="10"/>
    <n v="3253"/>
    <n v="2000"/>
    <n v="6506000"/>
    <x v="1"/>
  </r>
  <r>
    <x v="2"/>
    <x v="2"/>
    <x v="20"/>
    <x v="91"/>
    <s v="Wang Xing"/>
    <x v="3"/>
    <n v="2672"/>
    <n v="250"/>
    <n v="668000"/>
    <x v="1"/>
  </r>
  <r>
    <x v="4"/>
    <x v="0"/>
    <x v="6"/>
    <x v="9"/>
    <s v="Jim Pattison"/>
    <x v="8"/>
    <n v="3054"/>
    <n v="800"/>
    <n v="2443200"/>
    <x v="0"/>
  </r>
  <r>
    <x v="5"/>
    <x v="0"/>
    <x v="9"/>
    <x v="92"/>
    <s v="Alexander Abramov"/>
    <x v="11"/>
    <n v="9298"/>
    <n v="1000"/>
    <n v="9298000"/>
    <x v="1"/>
  </r>
  <r>
    <x v="5"/>
    <x v="1"/>
    <x v="10"/>
    <x v="19"/>
    <s v="George Roberts"/>
    <x v="3"/>
    <n v="5631"/>
    <n v="1000"/>
    <n v="5631000"/>
    <x v="1"/>
  </r>
  <r>
    <x v="11"/>
    <x v="2"/>
    <x v="23"/>
    <x v="68"/>
    <s v="Massimiliana Landini Aleotti &amp; family"/>
    <x v="4"/>
    <n v="9631"/>
    <n v="650"/>
    <n v="6260150"/>
    <x v="0"/>
  </r>
  <r>
    <x v="3"/>
    <x v="1"/>
    <x v="2"/>
    <x v="40"/>
    <s v="Arthur Dantchik"/>
    <x v="10"/>
    <n v="4435"/>
    <n v="450"/>
    <n v="1995750"/>
    <x v="1"/>
  </r>
  <r>
    <x v="3"/>
    <x v="0"/>
    <x v="9"/>
    <x v="93"/>
    <s v="Sun Piaoyang"/>
    <x v="8"/>
    <n v="1886"/>
    <n v="450"/>
    <n v="848700"/>
    <x v="0"/>
  </r>
  <r>
    <x v="8"/>
    <x v="2"/>
    <x v="26"/>
    <x v="94"/>
    <s v="Wu Jianshu"/>
    <x v="9"/>
    <n v="3571"/>
    <n v="2000"/>
    <n v="7142000"/>
    <x v="1"/>
  </r>
  <r>
    <x v="5"/>
    <x v="2"/>
    <x v="17"/>
    <x v="51"/>
    <s v="Jack Dangermond"/>
    <x v="4"/>
    <n v="7683"/>
    <n v="1000"/>
    <n v="7683000"/>
    <x v="1"/>
  </r>
  <r>
    <x v="0"/>
    <x v="0"/>
    <x v="2"/>
    <x v="95"/>
    <s v="Dhanin Chearavanont"/>
    <x v="8"/>
    <n v="3541"/>
    <n v="550"/>
    <n v="1947550"/>
    <x v="0"/>
  </r>
  <r>
    <x v="5"/>
    <x v="2"/>
    <x v="17"/>
    <x v="51"/>
    <s v="Alain Merieux &amp; family"/>
    <x v="8"/>
    <n v="8576"/>
    <n v="1000"/>
    <n v="8576000"/>
    <x v="0"/>
  </r>
  <r>
    <x v="4"/>
    <x v="1"/>
    <x v="6"/>
    <x v="59"/>
    <s v="Melker Schorling &amp; family"/>
    <x v="7"/>
    <n v="3743"/>
    <n v="800"/>
    <n v="2994400"/>
    <x v="1"/>
  </r>
  <r>
    <x v="5"/>
    <x v="1"/>
    <x v="9"/>
    <x v="96"/>
    <s v="Christy Walton"/>
    <x v="2"/>
    <n v="8509"/>
    <n v="1000"/>
    <n v="8509000"/>
    <x v="1"/>
  </r>
  <r>
    <x v="10"/>
    <x v="1"/>
    <x v="0"/>
    <x v="97"/>
    <s v="Don Hankey"/>
    <x v="1"/>
    <n v="7416"/>
    <n v="1500"/>
    <n v="11124000"/>
    <x v="1"/>
  </r>
  <r>
    <x v="1"/>
    <x v="0"/>
    <x v="2"/>
    <x v="98"/>
    <s v="Micky Arison"/>
    <x v="10"/>
    <n v="6895"/>
    <n v="1440"/>
    <n v="9928800"/>
    <x v="1"/>
  </r>
  <r>
    <x v="6"/>
    <x v="2"/>
    <x v="0"/>
    <x v="99"/>
    <s v="Yuri Milner"/>
    <x v="4"/>
    <n v="9235"/>
    <n v="1600"/>
    <n v="14776000"/>
    <x v="1"/>
  </r>
  <r>
    <x v="8"/>
    <x v="2"/>
    <x v="0"/>
    <x v="100"/>
    <s v="Jay Y. Lee"/>
    <x v="0"/>
    <n v="1421"/>
    <n v="2000"/>
    <n v="2842000"/>
    <x v="0"/>
  </r>
  <r>
    <x v="8"/>
    <x v="2"/>
    <x v="20"/>
    <x v="101"/>
    <s v="Jacques Saadé, Jr."/>
    <x v="0"/>
    <n v="4076"/>
    <n v="2000"/>
    <n v="8152000"/>
    <x v="1"/>
  </r>
  <r>
    <x v="9"/>
    <x v="3"/>
    <x v="0"/>
    <x v="102"/>
    <s v="Francoise Bettencourt Meyers &amp; family"/>
    <x v="11"/>
    <n v="6196"/>
    <n v="150"/>
    <n v="929400"/>
    <x v="1"/>
  </r>
  <r>
    <x v="7"/>
    <x v="3"/>
    <x v="0"/>
    <x v="97"/>
    <s v="Andrey Melnichenko &amp; family"/>
    <x v="9"/>
    <n v="5196"/>
    <n v="700"/>
    <n v="3637200"/>
    <x v="1"/>
  </r>
  <r>
    <x v="10"/>
    <x v="1"/>
    <x v="11"/>
    <x v="46"/>
    <s v="Stanley Kroenke"/>
    <x v="4"/>
    <n v="7120"/>
    <n v="1500"/>
    <n v="10680000"/>
    <x v="0"/>
  </r>
  <r>
    <x v="9"/>
    <x v="1"/>
    <x v="0"/>
    <x v="22"/>
    <s v="Gianluigi Aponte"/>
    <x v="6"/>
    <n v="3158"/>
    <n v="150"/>
    <n v="473700"/>
    <x v="1"/>
  </r>
  <r>
    <x v="7"/>
    <x v="0"/>
    <x v="27"/>
    <x v="103"/>
    <s v="Mukesh Ambani"/>
    <x v="11"/>
    <n v="1486"/>
    <n v="700"/>
    <n v="1040200"/>
    <x v="0"/>
  </r>
  <r>
    <x v="5"/>
    <x v="1"/>
    <x v="0"/>
    <x v="104"/>
    <s v="Benu Gopal Bangur"/>
    <x v="10"/>
    <n v="9893"/>
    <n v="1000"/>
    <n v="9893000"/>
    <x v="0"/>
  </r>
  <r>
    <x v="9"/>
    <x v="3"/>
    <x v="28"/>
    <x v="105"/>
    <s v="Maria Asuncion Aramburuzabala &amp; family"/>
    <x v="10"/>
    <n v="1255"/>
    <n v="150"/>
    <n v="188250"/>
    <x v="1"/>
  </r>
  <r>
    <x v="9"/>
    <x v="0"/>
    <x v="0"/>
    <x v="8"/>
    <s v="John Menard, Jr."/>
    <x v="9"/>
    <n v="8199"/>
    <n v="150"/>
    <n v="1229850"/>
    <x v="1"/>
  </r>
  <r>
    <x v="10"/>
    <x v="0"/>
    <x v="0"/>
    <x v="22"/>
    <s v="Graeme Hart"/>
    <x v="7"/>
    <n v="8439"/>
    <n v="1500"/>
    <n v="12658500"/>
    <x v="1"/>
  </r>
  <r>
    <x v="6"/>
    <x v="2"/>
    <x v="19"/>
    <x v="49"/>
    <s v="Frank Lowy"/>
    <x v="4"/>
    <n v="7647"/>
    <n v="1600"/>
    <n v="12235200"/>
    <x v="1"/>
  </r>
  <r>
    <x v="6"/>
    <x v="2"/>
    <x v="23"/>
    <x v="68"/>
    <s v="John Tu"/>
    <x v="4"/>
    <n v="2235"/>
    <n v="1600"/>
    <n v="3576000"/>
    <x v="1"/>
  </r>
  <r>
    <x v="5"/>
    <x v="1"/>
    <x v="20"/>
    <x v="106"/>
    <s v="Bubba Cathy"/>
    <x v="10"/>
    <n v="7750"/>
    <n v="1000"/>
    <n v="7750000"/>
    <x v="0"/>
  </r>
  <r>
    <x v="10"/>
    <x v="2"/>
    <x v="9"/>
    <x v="92"/>
    <s v="Anthony von Mandl"/>
    <x v="3"/>
    <n v="9039"/>
    <n v="1500"/>
    <n v="13558500"/>
    <x v="1"/>
  </r>
  <r>
    <x v="3"/>
    <x v="3"/>
    <x v="2"/>
    <x v="107"/>
    <s v="Michael Otto"/>
    <x v="11"/>
    <n v="7402"/>
    <n v="450"/>
    <n v="3330900"/>
    <x v="1"/>
  </r>
  <r>
    <x v="11"/>
    <x v="2"/>
    <x v="2"/>
    <x v="108"/>
    <s v="Henry Samueli"/>
    <x v="8"/>
    <n v="1699"/>
    <n v="650"/>
    <n v="1104350"/>
    <x v="1"/>
  </r>
  <r>
    <x v="6"/>
    <x v="2"/>
    <x v="24"/>
    <x v="70"/>
    <s v="Wang Laisheng"/>
    <x v="9"/>
    <n v="3021"/>
    <n v="1600"/>
    <n v="4833600"/>
    <x v="0"/>
  </r>
  <r>
    <x v="9"/>
    <x v="1"/>
    <x v="28"/>
    <x v="105"/>
    <s v="Michael Milken"/>
    <x v="7"/>
    <n v="2189"/>
    <n v="150"/>
    <n v="328350"/>
    <x v="0"/>
  </r>
  <r>
    <x v="8"/>
    <x v="1"/>
    <x v="0"/>
    <x v="109"/>
    <s v="Liu Yongxing"/>
    <x v="10"/>
    <n v="7496"/>
    <n v="2000"/>
    <n v="14992000"/>
    <x v="1"/>
  </r>
  <r>
    <x v="4"/>
    <x v="0"/>
    <x v="0"/>
    <x v="43"/>
    <s v="George Soros"/>
    <x v="1"/>
    <n v="3871"/>
    <n v="800"/>
    <n v="3096800"/>
    <x v="0"/>
  </r>
  <r>
    <x v="7"/>
    <x v="3"/>
    <x v="20"/>
    <x v="110"/>
    <s v="Theo Albrecht, Jr. &amp; family"/>
    <x v="8"/>
    <n v="4624"/>
    <n v="700"/>
    <n v="3236800"/>
    <x v="1"/>
  </r>
  <r>
    <x v="9"/>
    <x v="2"/>
    <x v="9"/>
    <x v="92"/>
    <s v="Wolfgang Herz"/>
    <x v="7"/>
    <n v="4750"/>
    <n v="150"/>
    <n v="712500"/>
    <x v="1"/>
  </r>
  <r>
    <x v="4"/>
    <x v="2"/>
    <x v="0"/>
    <x v="21"/>
    <s v="John A. Sobrato &amp; family"/>
    <x v="2"/>
    <n v="4157"/>
    <n v="800"/>
    <n v="3325600"/>
    <x v="0"/>
  </r>
  <r>
    <x v="5"/>
    <x v="1"/>
    <x v="0"/>
    <x v="111"/>
    <s v="Jan Koum"/>
    <x v="3"/>
    <n v="8495"/>
    <n v="1000"/>
    <n v="8495000"/>
    <x v="1"/>
  </r>
  <r>
    <x v="11"/>
    <x v="3"/>
    <x v="24"/>
    <x v="70"/>
    <s v="Michael Kim"/>
    <x v="9"/>
    <n v="5174"/>
    <n v="650"/>
    <n v="3363100"/>
    <x v="0"/>
  </r>
  <r>
    <x v="7"/>
    <x v="0"/>
    <x v="0"/>
    <x v="20"/>
    <s v="Dmitri Bukhman"/>
    <x v="4"/>
    <n v="2970"/>
    <n v="700"/>
    <n v="2079000"/>
    <x v="1"/>
  </r>
  <r>
    <x v="1"/>
    <x v="2"/>
    <x v="2"/>
    <x v="34"/>
    <s v="Karen Pritzker"/>
    <x v="2"/>
    <n v="1335"/>
    <n v="1440"/>
    <n v="1922400"/>
    <x v="1"/>
  </r>
  <r>
    <x v="11"/>
    <x v="2"/>
    <x v="23"/>
    <x v="68"/>
    <s v="Thomas Kirk Kristiansen"/>
    <x v="8"/>
    <n v="3285"/>
    <n v="650"/>
    <n v="2135250"/>
    <x v="0"/>
  </r>
  <r>
    <x v="1"/>
    <x v="0"/>
    <x v="2"/>
    <x v="18"/>
    <s v="Dustin Moskovitz"/>
    <x v="9"/>
    <n v="5339"/>
    <n v="1440"/>
    <n v="7688160"/>
    <x v="1"/>
  </r>
  <r>
    <x v="11"/>
    <x v="0"/>
    <x v="0"/>
    <x v="112"/>
    <s v="Leo Koguan"/>
    <x v="2"/>
    <n v="5215"/>
    <n v="650"/>
    <n v="3389750"/>
    <x v="1"/>
  </r>
  <r>
    <x v="1"/>
    <x v="2"/>
    <x v="0"/>
    <x v="113"/>
    <s v="James Irving"/>
    <x v="9"/>
    <n v="8993"/>
    <n v="1440"/>
    <n v="12949920"/>
    <x v="0"/>
  </r>
  <r>
    <x v="1"/>
    <x v="3"/>
    <x v="29"/>
    <x v="114"/>
    <s v="Len Blavatnik"/>
    <x v="10"/>
    <n v="9714"/>
    <n v="1440"/>
    <n v="13988160"/>
    <x v="1"/>
  </r>
  <r>
    <x v="7"/>
    <x v="3"/>
    <x v="17"/>
    <x v="51"/>
    <s v="Leonard Stern"/>
    <x v="6"/>
    <n v="5118"/>
    <n v="700"/>
    <n v="3582600"/>
    <x v="0"/>
  </r>
  <r>
    <x v="3"/>
    <x v="3"/>
    <x v="0"/>
    <x v="115"/>
    <s v="Robert Rowling"/>
    <x v="4"/>
    <n v="5831"/>
    <n v="450"/>
    <n v="2623950"/>
    <x v="1"/>
  </r>
  <r>
    <x v="0"/>
    <x v="0"/>
    <x v="30"/>
    <x v="116"/>
    <s v="Todd Boehly"/>
    <x v="1"/>
    <n v="4171"/>
    <n v="550"/>
    <n v="2294050"/>
    <x v="0"/>
  </r>
  <r>
    <x v="6"/>
    <x v="0"/>
    <x v="2"/>
    <x v="34"/>
    <s v="Arthur Blank"/>
    <x v="2"/>
    <n v="9571"/>
    <n v="1600"/>
    <n v="15313600"/>
    <x v="0"/>
  </r>
  <r>
    <x v="3"/>
    <x v="2"/>
    <x v="3"/>
    <x v="4"/>
    <s v="Johann Rupert &amp; family"/>
    <x v="1"/>
    <n v="7607"/>
    <n v="450"/>
    <n v="3423150"/>
    <x v="0"/>
  </r>
  <r>
    <x v="10"/>
    <x v="2"/>
    <x v="0"/>
    <x v="117"/>
    <s v="Ivan Glasenberg"/>
    <x v="6"/>
    <n v="1117"/>
    <n v="1500"/>
    <n v="1675500"/>
    <x v="0"/>
  </r>
  <r>
    <x v="7"/>
    <x v="2"/>
    <x v="30"/>
    <x v="116"/>
    <s v="Rocco Commisso"/>
    <x v="3"/>
    <n v="812"/>
    <n v="700"/>
    <n v="568400"/>
    <x v="1"/>
  </r>
  <r>
    <x v="6"/>
    <x v="3"/>
    <x v="6"/>
    <x v="9"/>
    <s v="Terrence Pegula"/>
    <x v="0"/>
    <n v="6550"/>
    <n v="1600"/>
    <n v="10480000"/>
    <x v="0"/>
  </r>
  <r>
    <x v="9"/>
    <x v="2"/>
    <x v="11"/>
    <x v="46"/>
    <s v="Ralph Lauren"/>
    <x v="2"/>
    <n v="8342"/>
    <n v="150"/>
    <n v="1251300"/>
    <x v="0"/>
  </r>
  <r>
    <x v="4"/>
    <x v="3"/>
    <x v="7"/>
    <x v="118"/>
    <s v="Michael Dell"/>
    <x v="10"/>
    <n v="1293"/>
    <n v="800"/>
    <n v="1034400"/>
    <x v="0"/>
  </r>
  <r>
    <x v="9"/>
    <x v="0"/>
    <x v="26"/>
    <x v="94"/>
    <s v="Lei Jun"/>
    <x v="3"/>
    <n v="2156"/>
    <n v="150"/>
    <n v="323400"/>
    <x v="0"/>
  </r>
  <r>
    <x v="6"/>
    <x v="2"/>
    <x v="9"/>
    <x v="119"/>
    <s v="Stefan Reimann-Andersen"/>
    <x v="9"/>
    <n v="1621"/>
    <n v="1600"/>
    <n v="2593600"/>
    <x v="0"/>
  </r>
  <r>
    <x v="2"/>
    <x v="3"/>
    <x v="2"/>
    <x v="18"/>
    <s v="Yang Huiyan &amp; family"/>
    <x v="8"/>
    <n v="6779"/>
    <n v="250"/>
    <n v="1694750"/>
    <x v="0"/>
  </r>
  <r>
    <x v="4"/>
    <x v="1"/>
    <x v="2"/>
    <x v="98"/>
    <s v="Marc Benioff"/>
    <x v="7"/>
    <n v="8552"/>
    <n v="800"/>
    <n v="6841600"/>
    <x v="0"/>
  </r>
  <r>
    <x v="9"/>
    <x v="1"/>
    <x v="24"/>
    <x v="120"/>
    <s v="John Doerr"/>
    <x v="9"/>
    <n v="9835"/>
    <n v="150"/>
    <n v="1475250"/>
    <x v="1"/>
  </r>
  <r>
    <x v="9"/>
    <x v="3"/>
    <x v="0"/>
    <x v="113"/>
    <s v="Guillaume Pousaz"/>
    <x v="2"/>
    <n v="5180"/>
    <n v="150"/>
    <n v="777000"/>
    <x v="1"/>
  </r>
  <r>
    <x v="7"/>
    <x v="3"/>
    <x v="30"/>
    <x v="121"/>
    <s v="Robin Zeng"/>
    <x v="0"/>
    <n v="3684"/>
    <n v="700"/>
    <n v="2578800"/>
    <x v="1"/>
  </r>
  <r>
    <x v="9"/>
    <x v="0"/>
    <x v="17"/>
    <x v="51"/>
    <s v="Diane Hendricks"/>
    <x v="3"/>
    <n v="863"/>
    <n v="150"/>
    <n v="129450"/>
    <x v="1"/>
  </r>
  <r>
    <x v="3"/>
    <x v="1"/>
    <x v="2"/>
    <x v="18"/>
    <s v="Dieter Schwarz"/>
    <x v="7"/>
    <n v="1731"/>
    <n v="450"/>
    <n v="778950"/>
    <x v="0"/>
  </r>
  <r>
    <x v="6"/>
    <x v="3"/>
    <x v="0"/>
    <x v="122"/>
    <s v="Bruce Kovner"/>
    <x v="1"/>
    <n v="8324"/>
    <n v="1600"/>
    <n v="13318400"/>
    <x v="1"/>
  </r>
  <r>
    <x v="10"/>
    <x v="1"/>
    <x v="6"/>
    <x v="45"/>
    <s v="Marie Besnier Beauvalot"/>
    <x v="2"/>
    <n v="9460"/>
    <n v="1500"/>
    <n v="14190000"/>
    <x v="1"/>
  </r>
  <r>
    <x v="8"/>
    <x v="3"/>
    <x v="0"/>
    <x v="123"/>
    <s v="Li Shuirong &amp; family"/>
    <x v="5"/>
    <n v="3419"/>
    <n v="2000"/>
    <n v="6838000"/>
    <x v="1"/>
  </r>
  <r>
    <x v="0"/>
    <x v="3"/>
    <x v="2"/>
    <x v="31"/>
    <s v="Mark Zuckerberg"/>
    <x v="5"/>
    <n v="7505"/>
    <n v="550"/>
    <n v="4127750"/>
    <x v="0"/>
  </r>
  <r>
    <x v="5"/>
    <x v="0"/>
    <x v="0"/>
    <x v="22"/>
    <s v="Gerard Wertheimer"/>
    <x v="6"/>
    <n v="9282"/>
    <n v="1000"/>
    <n v="9282000"/>
    <x v="0"/>
  </r>
  <r>
    <x v="11"/>
    <x v="2"/>
    <x v="11"/>
    <x v="124"/>
    <s v="Charles Schwab"/>
    <x v="0"/>
    <n v="4402"/>
    <n v="650"/>
    <n v="2861300"/>
    <x v="0"/>
  </r>
  <r>
    <x v="2"/>
    <x v="2"/>
    <x v="0"/>
    <x v="22"/>
    <s v="Sergio Stevanato &amp; family"/>
    <x v="10"/>
    <n v="8536"/>
    <n v="250"/>
    <n v="2134000"/>
    <x v="1"/>
  </r>
  <r>
    <x v="9"/>
    <x v="3"/>
    <x v="0"/>
    <x v="125"/>
    <s v="David Sun"/>
    <x v="0"/>
    <n v="6982"/>
    <n v="150"/>
    <n v="1047300"/>
    <x v="0"/>
  </r>
  <r>
    <x v="9"/>
    <x v="1"/>
    <x v="7"/>
    <x v="126"/>
    <s v="Jiang Weiping &amp; family"/>
    <x v="10"/>
    <n v="2009"/>
    <n v="150"/>
    <n v="301350"/>
    <x v="0"/>
  </r>
  <r>
    <x v="2"/>
    <x v="3"/>
    <x v="17"/>
    <x v="51"/>
    <s v="Sarath Ratanavadi"/>
    <x v="10"/>
    <n v="4399"/>
    <n v="250"/>
    <n v="1099750"/>
    <x v="1"/>
  </r>
  <r>
    <x v="0"/>
    <x v="1"/>
    <x v="11"/>
    <x v="46"/>
    <s v="Mat Ishbia"/>
    <x v="8"/>
    <n v="7590"/>
    <n v="550"/>
    <n v="4174500"/>
    <x v="0"/>
  </r>
  <r>
    <x v="3"/>
    <x v="0"/>
    <x v="2"/>
    <x v="18"/>
    <s v="Liu Yonghao &amp; family"/>
    <x v="6"/>
    <n v="5964"/>
    <n v="450"/>
    <n v="2683800"/>
    <x v="0"/>
  </r>
  <r>
    <x v="0"/>
    <x v="2"/>
    <x v="0"/>
    <x v="21"/>
    <s v="Tsai Eng-meng"/>
    <x v="4"/>
    <n v="5159"/>
    <n v="550"/>
    <n v="2837450"/>
    <x v="0"/>
  </r>
  <r>
    <x v="9"/>
    <x v="3"/>
    <x v="2"/>
    <x v="127"/>
    <s v="Finn Rausing"/>
    <x v="7"/>
    <n v="7244"/>
    <n v="150"/>
    <n v="1086600"/>
    <x v="1"/>
  </r>
  <r>
    <x v="5"/>
    <x v="3"/>
    <x v="11"/>
    <x v="46"/>
    <s v="Steve Ballmer"/>
    <x v="2"/>
    <n v="2651"/>
    <n v="1000"/>
    <n v="2651000"/>
    <x v="1"/>
  </r>
  <r>
    <x v="9"/>
    <x v="3"/>
    <x v="0"/>
    <x v="128"/>
    <s v="Michael Herz"/>
    <x v="2"/>
    <n v="9272"/>
    <n v="150"/>
    <n v="1390800"/>
    <x v="0"/>
  </r>
  <r>
    <x v="4"/>
    <x v="3"/>
    <x v="0"/>
    <x v="21"/>
    <s v="Pauline MacMillan Keinath"/>
    <x v="2"/>
    <n v="1435"/>
    <n v="800"/>
    <n v="1148000"/>
    <x v="1"/>
  </r>
  <r>
    <x v="11"/>
    <x v="2"/>
    <x v="0"/>
    <x v="128"/>
    <s v="Stewart Resnick"/>
    <x v="6"/>
    <n v="9535"/>
    <n v="650"/>
    <n v="6197750"/>
    <x v="1"/>
  </r>
  <r>
    <x v="6"/>
    <x v="3"/>
    <x v="0"/>
    <x v="113"/>
    <s v="Edward Johnson, IV."/>
    <x v="3"/>
    <n v="2053"/>
    <n v="1600"/>
    <n v="3284800"/>
    <x v="1"/>
  </r>
  <r>
    <x v="1"/>
    <x v="0"/>
    <x v="6"/>
    <x v="45"/>
    <s v="David Geffen"/>
    <x v="4"/>
    <n v="5475"/>
    <n v="1440"/>
    <n v="7884000"/>
    <x v="0"/>
  </r>
  <r>
    <x v="4"/>
    <x v="1"/>
    <x v="0"/>
    <x v="99"/>
    <s v="Douglas Leone"/>
    <x v="2"/>
    <n v="3045"/>
    <n v="800"/>
    <n v="2436000"/>
    <x v="1"/>
  </r>
  <r>
    <x v="0"/>
    <x v="2"/>
    <x v="0"/>
    <x v="17"/>
    <s v="John Overdeck"/>
    <x v="10"/>
    <n v="6538"/>
    <n v="550"/>
    <n v="3595900"/>
    <x v="0"/>
  </r>
  <r>
    <x v="2"/>
    <x v="2"/>
    <x v="0"/>
    <x v="129"/>
    <s v="Jim Simons"/>
    <x v="7"/>
    <n v="8473"/>
    <n v="250"/>
    <n v="2118250"/>
    <x v="0"/>
  </r>
  <r>
    <x v="3"/>
    <x v="3"/>
    <x v="11"/>
    <x v="46"/>
    <s v="J. Christopher Reyes"/>
    <x v="11"/>
    <n v="6291"/>
    <n v="450"/>
    <n v="2830950"/>
    <x v="0"/>
  </r>
  <r>
    <x v="7"/>
    <x v="1"/>
    <x v="27"/>
    <x v="103"/>
    <s v="Donald Newhouse"/>
    <x v="5"/>
    <n v="1653"/>
    <n v="700"/>
    <n v="1157100"/>
    <x v="1"/>
  </r>
  <r>
    <x v="5"/>
    <x v="0"/>
    <x v="0"/>
    <x v="22"/>
    <s v="Vicky Safra &amp; family"/>
    <x v="1"/>
    <n v="5835"/>
    <n v="1000"/>
    <n v="5835000"/>
    <x v="0"/>
  </r>
  <r>
    <x v="10"/>
    <x v="1"/>
    <x v="0"/>
    <x v="130"/>
    <s v="David Duffield"/>
    <x v="0"/>
    <n v="5767"/>
    <n v="1500"/>
    <n v="8650500"/>
    <x v="0"/>
  </r>
  <r>
    <x v="1"/>
    <x v="3"/>
    <x v="17"/>
    <x v="131"/>
    <s v="Gao Jifan &amp; family"/>
    <x v="10"/>
    <n v="7420"/>
    <n v="1440"/>
    <n v="10684800"/>
    <x v="1"/>
  </r>
  <r>
    <x v="11"/>
    <x v="0"/>
    <x v="19"/>
    <x v="49"/>
    <s v="Charlene de Carvalho-Heineken &amp; family"/>
    <x v="3"/>
    <n v="810"/>
    <n v="650"/>
    <n v="526500"/>
    <x v="1"/>
  </r>
  <r>
    <x v="9"/>
    <x v="1"/>
    <x v="31"/>
    <x v="132"/>
    <s v="Blair Parry-Okeden"/>
    <x v="5"/>
    <n v="9557"/>
    <n v="150"/>
    <n v="1433550"/>
    <x v="1"/>
  </r>
  <r>
    <x v="6"/>
    <x v="0"/>
    <x v="2"/>
    <x v="133"/>
    <s v="Rahel Blocher"/>
    <x v="6"/>
    <n v="2632"/>
    <n v="1600"/>
    <n v="4211200"/>
    <x v="0"/>
  </r>
  <r>
    <x v="2"/>
    <x v="1"/>
    <x v="2"/>
    <x v="134"/>
    <s v="Luo Liguo &amp; family"/>
    <x v="7"/>
    <n v="8841"/>
    <n v="250"/>
    <n v="2210250"/>
    <x v="0"/>
  </r>
  <r>
    <x v="10"/>
    <x v="1"/>
    <x v="0"/>
    <x v="88"/>
    <s v="Jude Reyes"/>
    <x v="3"/>
    <n v="3072"/>
    <n v="1500"/>
    <n v="4608000"/>
    <x v="1"/>
  </r>
  <r>
    <x v="2"/>
    <x v="2"/>
    <x v="4"/>
    <x v="135"/>
    <s v="Zheng Shuliang &amp; family"/>
    <x v="6"/>
    <n v="1918"/>
    <n v="250"/>
    <n v="479500"/>
    <x v="0"/>
  </r>
  <r>
    <x v="0"/>
    <x v="3"/>
    <x v="0"/>
    <x v="58"/>
    <s v="Nicky Oppenheimer &amp; family"/>
    <x v="8"/>
    <n v="4755"/>
    <n v="550"/>
    <n v="2615250"/>
    <x v="1"/>
  </r>
  <r>
    <x v="8"/>
    <x v="2"/>
    <x v="11"/>
    <x v="29"/>
    <s v="Hasso Plattner &amp; family"/>
    <x v="4"/>
    <n v="2383"/>
    <n v="2000"/>
    <n v="4766000"/>
    <x v="0"/>
  </r>
  <r>
    <x v="5"/>
    <x v="1"/>
    <x v="3"/>
    <x v="136"/>
    <s v="Dan Friedkin"/>
    <x v="9"/>
    <n v="4342"/>
    <n v="1000"/>
    <n v="4342000"/>
    <x v="0"/>
  </r>
  <r>
    <x v="9"/>
    <x v="3"/>
    <x v="0"/>
    <x v="89"/>
    <s v="Antony Ressler"/>
    <x v="7"/>
    <n v="4290"/>
    <n v="150"/>
    <n v="643500"/>
    <x v="1"/>
  </r>
  <r>
    <x v="0"/>
    <x v="2"/>
    <x v="11"/>
    <x v="137"/>
    <s v="Iskander Makhmudov"/>
    <x v="2"/>
    <n v="7130"/>
    <n v="550"/>
    <n v="3921500"/>
    <x v="0"/>
  </r>
  <r>
    <x v="9"/>
    <x v="0"/>
    <x v="0"/>
    <x v="22"/>
    <s v="Rohiqa Cyrus Mistry"/>
    <x v="6"/>
    <n v="1915"/>
    <n v="150"/>
    <n v="287250"/>
    <x v="0"/>
  </r>
  <r>
    <x v="3"/>
    <x v="0"/>
    <x v="2"/>
    <x v="95"/>
    <s v="Lin Jianhua"/>
    <x v="10"/>
    <n v="4121"/>
    <n v="450"/>
    <n v="1854450"/>
    <x v="1"/>
  </r>
  <r>
    <x v="8"/>
    <x v="1"/>
    <x v="0"/>
    <x v="44"/>
    <s v="Rob Walton &amp; family"/>
    <x v="5"/>
    <n v="4136"/>
    <n v="2000"/>
    <n v="8272000"/>
    <x v="1"/>
  </r>
  <r>
    <x v="7"/>
    <x v="2"/>
    <x v="0"/>
    <x v="113"/>
    <s v="Silvio Berlusconi &amp; family"/>
    <x v="5"/>
    <n v="9959"/>
    <n v="700"/>
    <n v="6971300"/>
    <x v="1"/>
  </r>
  <r>
    <x v="9"/>
    <x v="2"/>
    <x v="0"/>
    <x v="22"/>
    <s v="Susanne Klatten"/>
    <x v="10"/>
    <n v="6624"/>
    <n v="150"/>
    <n v="993600"/>
    <x v="1"/>
  </r>
  <r>
    <x v="7"/>
    <x v="0"/>
    <x v="17"/>
    <x v="51"/>
    <s v="Kjeld Kirk Kristiansen"/>
    <x v="9"/>
    <n v="3410"/>
    <n v="700"/>
    <n v="2387000"/>
    <x v="0"/>
  </r>
  <r>
    <x v="0"/>
    <x v="2"/>
    <x v="0"/>
    <x v="97"/>
    <s v="Henry Kravis"/>
    <x v="9"/>
    <n v="6495"/>
    <n v="550"/>
    <n v="3572250"/>
    <x v="1"/>
  </r>
  <r>
    <x v="6"/>
    <x v="1"/>
    <x v="0"/>
    <x v="74"/>
    <s v="Ivar Tollefsen"/>
    <x v="0"/>
    <n v="7518"/>
    <n v="1600"/>
    <n v="12028800"/>
    <x v="0"/>
  </r>
  <r>
    <x v="0"/>
    <x v="1"/>
    <x v="4"/>
    <x v="138"/>
    <s v="Mikhail Prokhorov"/>
    <x v="2"/>
    <n v="3476"/>
    <n v="550"/>
    <n v="1911800"/>
    <x v="0"/>
  </r>
  <r>
    <x v="5"/>
    <x v="0"/>
    <x v="17"/>
    <x v="51"/>
    <s v="Cyrus Poonawalla"/>
    <x v="8"/>
    <n v="1766"/>
    <n v="1000"/>
    <n v="1766000"/>
    <x v="0"/>
  </r>
  <r>
    <x v="2"/>
    <x v="3"/>
    <x v="3"/>
    <x v="4"/>
    <s v="Wolfgang Reimann"/>
    <x v="7"/>
    <n v="8540"/>
    <n v="250"/>
    <n v="2135000"/>
    <x v="1"/>
  </r>
  <r>
    <x v="11"/>
    <x v="2"/>
    <x v="2"/>
    <x v="31"/>
    <s v="Judy Faulkner"/>
    <x v="9"/>
    <n v="6417"/>
    <n v="650"/>
    <n v="4171050"/>
    <x v="1"/>
  </r>
  <r>
    <x v="7"/>
    <x v="1"/>
    <x v="22"/>
    <x v="66"/>
    <s v="Eric Schmidt"/>
    <x v="5"/>
    <n v="4438"/>
    <n v="700"/>
    <n v="3106600"/>
    <x v="1"/>
  </r>
  <r>
    <x v="1"/>
    <x v="1"/>
    <x v="28"/>
    <x v="105"/>
    <s v="Seo Jung-jin"/>
    <x v="9"/>
    <n v="3629"/>
    <n v="1440"/>
    <n v="5225760"/>
    <x v="0"/>
  </r>
  <r>
    <x v="0"/>
    <x v="1"/>
    <x v="0"/>
    <x v="139"/>
    <s v="Judy Love &amp; family"/>
    <x v="10"/>
    <n v="1176"/>
    <n v="550"/>
    <n v="646800"/>
    <x v="1"/>
  </r>
  <r>
    <x v="8"/>
    <x v="0"/>
    <x v="30"/>
    <x v="116"/>
    <s v="Tamara Gustavson"/>
    <x v="2"/>
    <n v="4471"/>
    <n v="2000"/>
    <n v="8942000"/>
    <x v="0"/>
  </r>
  <r>
    <x v="7"/>
    <x v="2"/>
    <x v="4"/>
    <x v="6"/>
    <s v="Zhao Yan"/>
    <x v="1"/>
    <n v="7080"/>
    <n v="700"/>
    <n v="4956000"/>
    <x v="0"/>
  </r>
  <r>
    <x v="1"/>
    <x v="3"/>
    <x v="2"/>
    <x v="31"/>
    <s v="Wang Wenyin"/>
    <x v="0"/>
    <n v="667"/>
    <n v="1440"/>
    <n v="960480"/>
    <x v="1"/>
  </r>
  <r>
    <x v="8"/>
    <x v="2"/>
    <x v="11"/>
    <x v="46"/>
    <s v="Huang Shilin"/>
    <x v="1"/>
    <n v="9004"/>
    <n v="2000"/>
    <n v="18008000"/>
    <x v="0"/>
  </r>
  <r>
    <x v="9"/>
    <x v="0"/>
    <x v="0"/>
    <x v="22"/>
    <s v="Jian Jun"/>
    <x v="3"/>
    <n v="5815"/>
    <n v="150"/>
    <n v="872250"/>
    <x v="0"/>
  </r>
  <r>
    <x v="2"/>
    <x v="1"/>
    <x v="14"/>
    <x v="30"/>
    <s v="Takahisa Takahara"/>
    <x v="5"/>
    <n v="9394"/>
    <n v="250"/>
    <n v="2348500"/>
    <x v="0"/>
  </r>
  <r>
    <x v="8"/>
    <x v="3"/>
    <x v="6"/>
    <x v="9"/>
    <s v="Karel Komarek"/>
    <x v="1"/>
    <n v="8988"/>
    <n v="2000"/>
    <n v="17976000"/>
    <x v="0"/>
  </r>
  <r>
    <x v="7"/>
    <x v="1"/>
    <x v="11"/>
    <x v="29"/>
    <s v="Wang Jianlin"/>
    <x v="8"/>
    <n v="8761"/>
    <n v="700"/>
    <n v="6132700"/>
    <x v="0"/>
  </r>
  <r>
    <x v="9"/>
    <x v="0"/>
    <x v="13"/>
    <x v="28"/>
    <s v="Vladimir Potanin"/>
    <x v="1"/>
    <n v="4405"/>
    <n v="150"/>
    <n v="660750"/>
    <x v="1"/>
  </r>
  <r>
    <x v="8"/>
    <x v="2"/>
    <x v="2"/>
    <x v="140"/>
    <s v="Stef Wertheimer &amp; family"/>
    <x v="2"/>
    <n v="5699"/>
    <n v="2000"/>
    <n v="11398000"/>
    <x v="1"/>
  </r>
  <r>
    <x v="5"/>
    <x v="0"/>
    <x v="2"/>
    <x v="98"/>
    <s v="Michal Solowow"/>
    <x v="3"/>
    <n v="6327"/>
    <n v="1000"/>
    <n v="6327000"/>
    <x v="1"/>
  </r>
  <r>
    <x v="5"/>
    <x v="1"/>
    <x v="24"/>
    <x v="141"/>
    <s v="Eduardo Saverin"/>
    <x v="11"/>
    <n v="6640"/>
    <n v="1000"/>
    <n v="6640000"/>
    <x v="1"/>
  </r>
  <r>
    <x v="10"/>
    <x v="3"/>
    <x v="0"/>
    <x v="142"/>
    <s v="Warren Buffett"/>
    <x v="1"/>
    <n v="6502"/>
    <n v="1500"/>
    <n v="9753000"/>
    <x v="0"/>
  </r>
  <r>
    <x v="4"/>
    <x v="0"/>
    <x v="0"/>
    <x v="22"/>
    <s v="Robert Kraft"/>
    <x v="9"/>
    <n v="5572"/>
    <n v="800"/>
    <n v="4457600"/>
    <x v="1"/>
  </r>
  <r>
    <x v="0"/>
    <x v="1"/>
    <x v="24"/>
    <x v="70"/>
    <s v="Anders Holch Povlsen"/>
    <x v="3"/>
    <n v="4258"/>
    <n v="550"/>
    <n v="2341900"/>
    <x v="1"/>
  </r>
  <r>
    <x v="2"/>
    <x v="0"/>
    <x v="17"/>
    <x v="51"/>
    <s v="Steve Cohen"/>
    <x v="3"/>
    <n v="9961"/>
    <n v="250"/>
    <n v="2490250"/>
    <x v="1"/>
  </r>
  <r>
    <x v="9"/>
    <x v="1"/>
    <x v="20"/>
    <x v="82"/>
    <s v="Rafaela Aponte-Diamant"/>
    <x v="10"/>
    <n v="1218"/>
    <n v="150"/>
    <n v="182700"/>
    <x v="0"/>
  </r>
  <r>
    <x v="2"/>
    <x v="3"/>
    <x v="0"/>
    <x v="113"/>
    <s v="Viktor Rashnikov"/>
    <x v="10"/>
    <n v="4411"/>
    <n v="250"/>
    <n v="1102750"/>
    <x v="1"/>
  </r>
  <r>
    <x v="2"/>
    <x v="1"/>
    <x v="19"/>
    <x v="49"/>
    <s v="David Green &amp; family"/>
    <x v="4"/>
    <n v="616"/>
    <n v="250"/>
    <n v="154000"/>
    <x v="1"/>
  </r>
  <r>
    <x v="2"/>
    <x v="2"/>
    <x v="2"/>
    <x v="143"/>
    <s v="Shahid Khan"/>
    <x v="0"/>
    <n v="9006"/>
    <n v="250"/>
    <n v="2251500"/>
    <x v="0"/>
  </r>
  <r>
    <x v="4"/>
    <x v="0"/>
    <x v="2"/>
    <x v="144"/>
    <s v="Igor Olenicoff"/>
    <x v="6"/>
    <n v="5244"/>
    <n v="800"/>
    <n v="4195200"/>
    <x v="0"/>
  </r>
  <r>
    <x v="3"/>
    <x v="3"/>
    <x v="2"/>
    <x v="98"/>
    <s v="Marijke Mars"/>
    <x v="6"/>
    <n v="3996"/>
    <n v="450"/>
    <n v="1798200"/>
    <x v="0"/>
  </r>
  <r>
    <x v="7"/>
    <x v="0"/>
    <x v="0"/>
    <x v="43"/>
    <s v="Prajogo Pangestu"/>
    <x v="0"/>
    <n v="1939"/>
    <n v="700"/>
    <n v="1357300"/>
    <x v="1"/>
  </r>
  <r>
    <x v="4"/>
    <x v="2"/>
    <x v="0"/>
    <x v="145"/>
    <s v="Edythe Broad &amp; family"/>
    <x v="5"/>
    <n v="9080"/>
    <n v="800"/>
    <n v="7264000"/>
    <x v="1"/>
  </r>
  <r>
    <x v="1"/>
    <x v="1"/>
    <x v="2"/>
    <x v="40"/>
    <s v="Qin Yinglin"/>
    <x v="8"/>
    <n v="8700"/>
    <n v="1440"/>
    <n v="12528000"/>
    <x v="0"/>
  </r>
  <r>
    <x v="0"/>
    <x v="3"/>
    <x v="24"/>
    <x v="70"/>
    <s v="Emmanuel Besnier"/>
    <x v="8"/>
    <n v="1436"/>
    <n v="550"/>
    <n v="789800"/>
    <x v="0"/>
  </r>
  <r>
    <x v="3"/>
    <x v="0"/>
    <x v="0"/>
    <x v="36"/>
    <s v="Carl Icahn"/>
    <x v="10"/>
    <n v="4016"/>
    <n v="450"/>
    <n v="1807200"/>
    <x v="0"/>
  </r>
  <r>
    <x v="8"/>
    <x v="0"/>
    <x v="20"/>
    <x v="146"/>
    <s v="Nathan Blecharczyk"/>
    <x v="4"/>
    <n v="3754"/>
    <n v="2000"/>
    <n v="7508000"/>
    <x v="1"/>
  </r>
  <r>
    <x v="8"/>
    <x v="0"/>
    <x v="0"/>
    <x v="147"/>
    <s v="Marcel Herrmann Telles"/>
    <x v="4"/>
    <n v="8299"/>
    <n v="2000"/>
    <n v="16598000"/>
    <x v="0"/>
  </r>
  <r>
    <x v="10"/>
    <x v="2"/>
    <x v="2"/>
    <x v="67"/>
    <s v="Frederik Paulsen"/>
    <x v="4"/>
    <n v="3105"/>
    <n v="1500"/>
    <n v="4657500"/>
    <x v="0"/>
  </r>
  <r>
    <x v="5"/>
    <x v="0"/>
    <x v="0"/>
    <x v="148"/>
    <s v="Viktor Vekselberg"/>
    <x v="7"/>
    <n v="3307"/>
    <n v="1000"/>
    <n v="3307000"/>
    <x v="0"/>
  </r>
  <r>
    <x v="6"/>
    <x v="0"/>
    <x v="0"/>
    <x v="149"/>
    <s v="John Collison"/>
    <x v="0"/>
    <n v="1534"/>
    <n v="1600"/>
    <n v="2454400"/>
    <x v="0"/>
  </r>
  <r>
    <x v="1"/>
    <x v="3"/>
    <x v="20"/>
    <x v="150"/>
    <s v="Xavier Niel"/>
    <x v="7"/>
    <n v="1660"/>
    <n v="1440"/>
    <n v="2390400"/>
    <x v="1"/>
  </r>
  <r>
    <x v="8"/>
    <x v="1"/>
    <x v="26"/>
    <x v="94"/>
    <s v="Ramzi Musallam"/>
    <x v="4"/>
    <n v="968"/>
    <n v="2000"/>
    <n v="1936000"/>
    <x v="0"/>
  </r>
  <r>
    <x v="4"/>
    <x v="3"/>
    <x v="2"/>
    <x v="61"/>
    <s v="Laurent Dassault"/>
    <x v="6"/>
    <n v="3803"/>
    <n v="800"/>
    <n v="3042400"/>
    <x v="1"/>
  </r>
  <r>
    <x v="11"/>
    <x v="0"/>
    <x v="5"/>
    <x v="7"/>
    <s v="Zhang Hejun"/>
    <x v="5"/>
    <n v="3443"/>
    <n v="650"/>
    <n v="2237950"/>
    <x v="0"/>
  </r>
  <r>
    <x v="2"/>
    <x v="0"/>
    <x v="0"/>
    <x v="128"/>
    <s v="Robin Li"/>
    <x v="8"/>
    <n v="9860"/>
    <n v="250"/>
    <n v="2465000"/>
    <x v="0"/>
  </r>
  <r>
    <x v="6"/>
    <x v="3"/>
    <x v="22"/>
    <x v="66"/>
    <s v="Daniel Kretinsky"/>
    <x v="7"/>
    <n v="6483"/>
    <n v="1600"/>
    <n v="10372800"/>
    <x v="0"/>
  </r>
  <r>
    <x v="3"/>
    <x v="1"/>
    <x v="0"/>
    <x v="58"/>
    <s v="Dan Cathy"/>
    <x v="3"/>
    <n v="6408"/>
    <n v="450"/>
    <n v="2883600"/>
    <x v="1"/>
  </r>
  <r>
    <x v="8"/>
    <x v="1"/>
    <x v="0"/>
    <x v="47"/>
    <s v="Ricardo Salinas Pliego &amp; family"/>
    <x v="9"/>
    <n v="8916"/>
    <n v="2000"/>
    <n v="17832000"/>
    <x v="1"/>
  </r>
  <r>
    <x v="11"/>
    <x v="3"/>
    <x v="2"/>
    <x v="18"/>
    <s v="Alexei Kuzmichev"/>
    <x v="4"/>
    <n v="9261"/>
    <n v="650"/>
    <n v="6019650"/>
    <x v="1"/>
  </r>
  <r>
    <x v="4"/>
    <x v="1"/>
    <x v="0"/>
    <x v="41"/>
    <s v="Jeff Bezos"/>
    <x v="6"/>
    <n v="5559"/>
    <n v="800"/>
    <n v="4447200"/>
    <x v="0"/>
  </r>
  <r>
    <x v="11"/>
    <x v="2"/>
    <x v="2"/>
    <x v="31"/>
    <s v="Germán Larrea Mota Velasco &amp; family"/>
    <x v="1"/>
    <n v="2877"/>
    <n v="650"/>
    <n v="1870050"/>
    <x v="0"/>
  </r>
  <r>
    <x v="2"/>
    <x v="2"/>
    <x v="0"/>
    <x v="151"/>
    <s v="Julia Koch &amp; family"/>
    <x v="0"/>
    <n v="1386"/>
    <n v="250"/>
    <n v="346500"/>
    <x v="1"/>
  </r>
  <r>
    <x v="10"/>
    <x v="1"/>
    <x v="32"/>
    <x v="152"/>
    <s v="Lin Muqin &amp; family"/>
    <x v="8"/>
    <n v="609"/>
    <n v="1500"/>
    <n v="913500"/>
    <x v="0"/>
  </r>
  <r>
    <x v="2"/>
    <x v="0"/>
    <x v="14"/>
    <x v="153"/>
    <s v="Stefan Quandt"/>
    <x v="1"/>
    <n v="2745"/>
    <n v="250"/>
    <n v="686250"/>
    <x v="0"/>
  </r>
  <r>
    <x v="0"/>
    <x v="2"/>
    <x v="17"/>
    <x v="51"/>
    <s v="Jorn Rausing"/>
    <x v="7"/>
    <n v="2495"/>
    <n v="550"/>
    <n v="1372250"/>
    <x v="1"/>
  </r>
  <r>
    <x v="8"/>
    <x v="0"/>
    <x v="0"/>
    <x v="113"/>
    <s v="Milane Frantz"/>
    <x v="7"/>
    <n v="7458"/>
    <n v="2000"/>
    <n v="14916000"/>
    <x v="0"/>
  </r>
  <r>
    <x v="6"/>
    <x v="0"/>
    <x v="11"/>
    <x v="46"/>
    <s v="Shapoor Mistry"/>
    <x v="3"/>
    <n v="9077"/>
    <n v="1600"/>
    <n v="14523200"/>
    <x v="0"/>
  </r>
  <r>
    <x v="10"/>
    <x v="2"/>
    <x v="3"/>
    <x v="154"/>
    <s v="Li Ping"/>
    <x v="0"/>
    <n v="4289"/>
    <n v="1500"/>
    <n v="6433500"/>
    <x v="1"/>
  </r>
  <r>
    <x v="9"/>
    <x v="1"/>
    <x v="0"/>
    <x v="21"/>
    <s v="Rinat Akhmetov"/>
    <x v="7"/>
    <n v="4437"/>
    <n v="150"/>
    <n v="665550"/>
    <x v="1"/>
  </r>
  <r>
    <x v="1"/>
    <x v="2"/>
    <x v="2"/>
    <x v="108"/>
    <s v="Wolfgang Marguerre &amp; family"/>
    <x v="2"/>
    <n v="1606"/>
    <n v="1440"/>
    <n v="2312640"/>
    <x v="0"/>
  </r>
  <r>
    <x v="2"/>
    <x v="2"/>
    <x v="5"/>
    <x v="7"/>
    <s v="James Goodnight"/>
    <x v="5"/>
    <n v="4907"/>
    <n v="250"/>
    <n v="1226750"/>
    <x v="0"/>
  </r>
  <r>
    <x v="1"/>
    <x v="3"/>
    <x v="28"/>
    <x v="155"/>
    <s v="Anthony Pratt"/>
    <x v="4"/>
    <n v="1011"/>
    <n v="1440"/>
    <n v="1455840"/>
    <x v="0"/>
  </r>
  <r>
    <x v="11"/>
    <x v="1"/>
    <x v="2"/>
    <x v="18"/>
    <s v="Autry Stephens"/>
    <x v="6"/>
    <n v="8484"/>
    <n v="650"/>
    <n v="5514600"/>
    <x v="0"/>
  </r>
  <r>
    <x v="8"/>
    <x v="2"/>
    <x v="0"/>
    <x v="20"/>
    <s v="James Dyson"/>
    <x v="1"/>
    <n v="6700"/>
    <n v="2000"/>
    <n v="13400000"/>
    <x v="0"/>
  </r>
  <r>
    <x v="10"/>
    <x v="3"/>
    <x v="2"/>
    <x v="108"/>
    <s v="Jaran Chiaravanont"/>
    <x v="8"/>
    <n v="2402"/>
    <n v="1500"/>
    <n v="3603000"/>
    <x v="1"/>
  </r>
  <r>
    <x v="1"/>
    <x v="2"/>
    <x v="0"/>
    <x v="41"/>
    <s v="Gautam Adani"/>
    <x v="6"/>
    <n v="7673"/>
    <n v="1440"/>
    <n v="11049120"/>
    <x v="0"/>
  </r>
  <r>
    <x v="7"/>
    <x v="3"/>
    <x v="0"/>
    <x v="117"/>
    <s v="Amancio Ortega"/>
    <x v="4"/>
    <n v="8592"/>
    <n v="700"/>
    <n v="6014400"/>
    <x v="0"/>
  </r>
  <r>
    <x v="10"/>
    <x v="1"/>
    <x v="2"/>
    <x v="69"/>
    <s v="Changpeng Zhao"/>
    <x v="1"/>
    <n v="6946"/>
    <n v="1500"/>
    <n v="10419000"/>
    <x v="1"/>
  </r>
  <r>
    <x v="10"/>
    <x v="0"/>
    <x v="27"/>
    <x v="103"/>
    <s v="Gustaf Douglas"/>
    <x v="5"/>
    <n v="7187"/>
    <n v="1500"/>
    <n v="10780500"/>
    <x v="0"/>
  </r>
  <r>
    <x v="3"/>
    <x v="1"/>
    <x v="0"/>
    <x v="156"/>
    <s v="Leonid Mikhelson &amp; family"/>
    <x v="11"/>
    <n v="1044"/>
    <n v="450"/>
    <n v="469800"/>
    <x v="1"/>
  </r>
  <r>
    <x v="7"/>
    <x v="0"/>
    <x v="19"/>
    <x v="49"/>
    <s v="Dang Yanbao"/>
    <x v="10"/>
    <n v="2768"/>
    <n v="700"/>
    <n v="1937600"/>
    <x v="1"/>
  </r>
  <r>
    <x v="0"/>
    <x v="0"/>
    <x v="7"/>
    <x v="157"/>
    <s v="Wang Liping &amp; family"/>
    <x v="5"/>
    <n v="8480"/>
    <n v="550"/>
    <n v="4664000"/>
    <x v="0"/>
  </r>
  <r>
    <x v="8"/>
    <x v="1"/>
    <x v="0"/>
    <x v="128"/>
    <s v="David Cheriton"/>
    <x v="11"/>
    <n v="724"/>
    <n v="2000"/>
    <n v="1448000"/>
    <x v="1"/>
  </r>
  <r>
    <x v="6"/>
    <x v="1"/>
    <x v="9"/>
    <x v="158"/>
    <s v="Matthias Reimann-Andersen"/>
    <x v="6"/>
    <n v="3181"/>
    <n v="1600"/>
    <n v="5089600"/>
    <x v="0"/>
  </r>
  <r>
    <x v="2"/>
    <x v="0"/>
    <x v="13"/>
    <x v="159"/>
    <s v="Thomas Peterffy"/>
    <x v="1"/>
    <n v="9978"/>
    <n v="250"/>
    <n v="2494500"/>
    <x v="0"/>
  </r>
  <r>
    <x v="11"/>
    <x v="1"/>
    <x v="9"/>
    <x v="160"/>
    <s v="Renata Kellnerova &amp; family"/>
    <x v="11"/>
    <n v="4163"/>
    <n v="650"/>
    <n v="2705950"/>
    <x v="0"/>
  </r>
  <r>
    <x v="10"/>
    <x v="3"/>
    <x v="6"/>
    <x v="9"/>
    <s v="Thierry Dassault"/>
    <x v="10"/>
    <n v="3437"/>
    <n v="1500"/>
    <n v="5155500"/>
    <x v="0"/>
  </r>
  <r>
    <x v="1"/>
    <x v="0"/>
    <x v="0"/>
    <x v="117"/>
    <s v="Stephen Ross"/>
    <x v="8"/>
    <n v="3132"/>
    <n v="1440"/>
    <n v="4510080"/>
    <x v="1"/>
  </r>
  <r>
    <x v="4"/>
    <x v="1"/>
    <x v="11"/>
    <x v="161"/>
    <s v="Masayoshi Son"/>
    <x v="1"/>
    <n v="7252"/>
    <n v="800"/>
    <n v="5801600"/>
    <x v="0"/>
  </r>
  <r>
    <x v="11"/>
    <x v="3"/>
    <x v="2"/>
    <x v="40"/>
    <s v="Wei Jianjun &amp; family"/>
    <x v="1"/>
    <n v="9519"/>
    <n v="650"/>
    <n v="6187350"/>
    <x v="0"/>
  </r>
  <r>
    <x v="3"/>
    <x v="2"/>
    <x v="0"/>
    <x v="22"/>
    <s v="Viatcheslav Kantor"/>
    <x v="6"/>
    <n v="2064"/>
    <n v="450"/>
    <n v="928800"/>
    <x v="0"/>
  </r>
  <r>
    <x v="3"/>
    <x v="0"/>
    <x v="0"/>
    <x v="22"/>
    <s v="David Shaw"/>
    <x v="3"/>
    <n v="7824"/>
    <n v="450"/>
    <n v="3520800"/>
    <x v="1"/>
  </r>
  <r>
    <x v="7"/>
    <x v="1"/>
    <x v="2"/>
    <x v="162"/>
    <s v="Jim Kennedy"/>
    <x v="7"/>
    <n v="8449"/>
    <n v="700"/>
    <n v="5914300"/>
    <x v="0"/>
  </r>
  <r>
    <x v="3"/>
    <x v="1"/>
    <x v="0"/>
    <x v="163"/>
    <s v="Israel Englander"/>
    <x v="10"/>
    <n v="5892"/>
    <n v="450"/>
    <n v="2651400"/>
    <x v="0"/>
  </r>
  <r>
    <x v="1"/>
    <x v="2"/>
    <x v="0"/>
    <x v="97"/>
    <s v="Don Vultaggio &amp; family"/>
    <x v="5"/>
    <n v="7665"/>
    <n v="1440"/>
    <n v="11037600"/>
    <x v="0"/>
  </r>
  <r>
    <x v="0"/>
    <x v="0"/>
    <x v="3"/>
    <x v="4"/>
    <s v="Mahendra Choksi &amp; family"/>
    <x v="1"/>
    <n v="1142"/>
    <n v="550"/>
    <n v="628100"/>
    <x v="0"/>
  </r>
  <r>
    <x v="7"/>
    <x v="3"/>
    <x v="2"/>
    <x v="127"/>
    <s v="John Grayken"/>
    <x v="11"/>
    <n v="690"/>
    <n v="700"/>
    <n v="483000"/>
    <x v="1"/>
  </r>
  <r>
    <x v="6"/>
    <x v="0"/>
    <x v="0"/>
    <x v="76"/>
    <s v="David Thomson &amp; family"/>
    <x v="0"/>
    <n v="5444"/>
    <n v="1600"/>
    <n v="8710400"/>
    <x v="1"/>
  </r>
  <r>
    <x v="7"/>
    <x v="3"/>
    <x v="0"/>
    <x v="164"/>
    <s v="Johann Graf"/>
    <x v="1"/>
    <n v="4654"/>
    <n v="700"/>
    <n v="3257800"/>
    <x v="0"/>
  </r>
  <r>
    <x v="4"/>
    <x v="1"/>
    <x v="0"/>
    <x v="165"/>
    <s v="Paul Singer"/>
    <x v="9"/>
    <n v="5538"/>
    <n v="800"/>
    <n v="4430400"/>
    <x v="1"/>
  </r>
  <r>
    <x v="6"/>
    <x v="2"/>
    <x v="0"/>
    <x v="166"/>
    <s v="Mikhail Fridman"/>
    <x v="3"/>
    <n v="9712"/>
    <n v="1600"/>
    <n v="15539200"/>
    <x v="1"/>
  </r>
  <r>
    <x v="10"/>
    <x v="1"/>
    <x v="0"/>
    <x v="22"/>
    <s v="Zhong Huijuan"/>
    <x v="11"/>
    <n v="949"/>
    <n v="1500"/>
    <n v="1423500"/>
    <x v="1"/>
  </r>
  <r>
    <x v="6"/>
    <x v="1"/>
    <x v="33"/>
    <x v="167"/>
    <s v="Sergey Brin"/>
    <x v="4"/>
    <n v="3590"/>
    <n v="1600"/>
    <n v="5744000"/>
    <x v="1"/>
  </r>
  <r>
    <x v="4"/>
    <x v="3"/>
    <x v="0"/>
    <x v="168"/>
    <s v="Les Wexner &amp; family"/>
    <x v="10"/>
    <n v="3383"/>
    <n v="800"/>
    <n v="2706400"/>
    <x v="1"/>
  </r>
  <r>
    <x v="5"/>
    <x v="3"/>
    <x v="17"/>
    <x v="51"/>
    <s v="Xu Hang"/>
    <x v="2"/>
    <n v="4085"/>
    <n v="1000"/>
    <n v="4085000"/>
    <x v="1"/>
  </r>
  <r>
    <x v="7"/>
    <x v="3"/>
    <x v="0"/>
    <x v="169"/>
    <s v="Richard Kinder"/>
    <x v="5"/>
    <n v="5057"/>
    <n v="700"/>
    <n v="3539900"/>
    <x v="1"/>
  </r>
  <r>
    <x v="7"/>
    <x v="1"/>
    <x v="24"/>
    <x v="70"/>
    <s v="Jack Ma"/>
    <x v="5"/>
    <n v="4484"/>
    <n v="700"/>
    <n v="3138800"/>
    <x v="0"/>
  </r>
  <r>
    <x v="5"/>
    <x v="1"/>
    <x v="14"/>
    <x v="30"/>
    <s v="Andreas Struengmann &amp; family"/>
    <x v="2"/>
    <n v="7962"/>
    <n v="1000"/>
    <n v="7962000"/>
    <x v="1"/>
  </r>
  <r>
    <x v="6"/>
    <x v="0"/>
    <x v="0"/>
    <x v="20"/>
    <s v="Archie Aldis Emmerson &amp; family"/>
    <x v="5"/>
    <n v="1944"/>
    <n v="1600"/>
    <n v="3110400"/>
    <x v="0"/>
  </r>
  <r>
    <x v="4"/>
    <x v="3"/>
    <x v="2"/>
    <x v="133"/>
    <s v="Paul Tudor Jones, II."/>
    <x v="3"/>
    <n v="7958"/>
    <n v="800"/>
    <n v="6366400"/>
    <x v="0"/>
  </r>
  <r>
    <x v="7"/>
    <x v="0"/>
    <x v="0"/>
    <x v="170"/>
    <s v="Rupert Murdoch &amp; family"/>
    <x v="1"/>
    <n v="5521"/>
    <n v="700"/>
    <n v="3864700"/>
    <x v="1"/>
  </r>
  <r>
    <x v="5"/>
    <x v="0"/>
    <x v="0"/>
    <x v="171"/>
    <s v="David Reuben"/>
    <x v="5"/>
    <n v="7414"/>
    <n v="1000"/>
    <n v="7414000"/>
    <x v="0"/>
  </r>
  <r>
    <x v="9"/>
    <x v="1"/>
    <x v="23"/>
    <x v="172"/>
    <s v="Enrique Razon Jr."/>
    <x v="5"/>
    <n v="8675"/>
    <n v="150"/>
    <n v="1301250"/>
    <x v="0"/>
  </r>
  <r>
    <x v="6"/>
    <x v="3"/>
    <x v="0"/>
    <x v="58"/>
    <s v="Arthur Irving"/>
    <x v="8"/>
    <n v="3015"/>
    <n v="1600"/>
    <n v="4824000"/>
    <x v="0"/>
  </r>
  <r>
    <x v="10"/>
    <x v="3"/>
    <x v="4"/>
    <x v="6"/>
    <s v="Carl Cook"/>
    <x v="9"/>
    <n v="3795"/>
    <n v="1500"/>
    <n v="5692500"/>
    <x v="0"/>
  </r>
  <r>
    <x v="1"/>
    <x v="3"/>
    <x v="2"/>
    <x v="31"/>
    <s v="Qi Shi &amp; family"/>
    <x v="2"/>
    <n v="812"/>
    <n v="1440"/>
    <n v="1169280"/>
    <x v="1"/>
  </r>
  <r>
    <x v="2"/>
    <x v="3"/>
    <x v="24"/>
    <x v="70"/>
    <s v="Abdulsamad Rabiu"/>
    <x v="6"/>
    <n v="2628"/>
    <n v="250"/>
    <n v="657000"/>
    <x v="0"/>
  </r>
  <r>
    <x v="6"/>
    <x v="0"/>
    <x v="0"/>
    <x v="22"/>
    <s v="Henry Nicholas, III."/>
    <x v="0"/>
    <n v="2720"/>
    <n v="1600"/>
    <n v="4352000"/>
    <x v="1"/>
  </r>
  <r>
    <x v="6"/>
    <x v="2"/>
    <x v="0"/>
    <x v="166"/>
    <s v="Li Zhenguo &amp; family"/>
    <x v="3"/>
    <n v="8805"/>
    <n v="1600"/>
    <n v="14088000"/>
    <x v="0"/>
  </r>
  <r>
    <x v="7"/>
    <x v="3"/>
    <x v="0"/>
    <x v="113"/>
    <s v="Ken Fisher"/>
    <x v="9"/>
    <n v="8902"/>
    <n v="700"/>
    <n v="6231400"/>
    <x v="0"/>
  </r>
  <r>
    <x v="5"/>
    <x v="1"/>
    <x v="24"/>
    <x v="70"/>
    <s v="Neil Bluhm"/>
    <x v="7"/>
    <n v="3617"/>
    <n v="1000"/>
    <n v="3617000"/>
    <x v="1"/>
  </r>
  <r>
    <x v="9"/>
    <x v="1"/>
    <x v="17"/>
    <x v="173"/>
    <s v="Scott Duncan"/>
    <x v="8"/>
    <n v="6102"/>
    <n v="150"/>
    <n v="915300"/>
    <x v="0"/>
  </r>
  <r>
    <x v="7"/>
    <x v="2"/>
    <x v="2"/>
    <x v="40"/>
    <s v="Miriam Adelson &amp; family"/>
    <x v="5"/>
    <n v="7894"/>
    <n v="700"/>
    <n v="5525800"/>
    <x v="0"/>
  </r>
  <r>
    <x v="8"/>
    <x v="3"/>
    <x v="31"/>
    <x v="174"/>
    <s v="Zhang Zhidong"/>
    <x v="6"/>
    <n v="5239"/>
    <n v="2000"/>
    <n v="10478000"/>
    <x v="0"/>
  </r>
  <r>
    <x v="8"/>
    <x v="0"/>
    <x v="17"/>
    <x v="51"/>
    <s v="Igor Bukhman"/>
    <x v="0"/>
    <n v="7025"/>
    <n v="2000"/>
    <n v="14050000"/>
    <x v="0"/>
  </r>
  <r>
    <x v="8"/>
    <x v="2"/>
    <x v="0"/>
    <x v="47"/>
    <s v="Charoen Sirivadhanabhakdi"/>
    <x v="11"/>
    <n v="3397"/>
    <n v="2000"/>
    <n v="6794000"/>
    <x v="0"/>
  </r>
  <r>
    <x v="9"/>
    <x v="1"/>
    <x v="29"/>
    <x v="175"/>
    <s v="Alexey Mordashov &amp; family"/>
    <x v="9"/>
    <n v="5646"/>
    <n v="150"/>
    <n v="846900"/>
    <x v="1"/>
  </r>
  <r>
    <x v="1"/>
    <x v="1"/>
    <x v="2"/>
    <x v="176"/>
    <s v="Michael Pieper"/>
    <x v="8"/>
    <n v="8857"/>
    <n v="1440"/>
    <n v="12754080"/>
    <x v="0"/>
  </r>
  <r>
    <x v="6"/>
    <x v="0"/>
    <x v="24"/>
    <x v="70"/>
    <s v="Sky Xu"/>
    <x v="1"/>
    <n v="5928"/>
    <n v="1600"/>
    <n v="9484800"/>
    <x v="1"/>
  </r>
  <r>
    <x v="4"/>
    <x v="1"/>
    <x v="17"/>
    <x v="51"/>
    <s v="Ma Jianrong"/>
    <x v="3"/>
    <n v="3640"/>
    <n v="800"/>
    <n v="2912000"/>
    <x v="1"/>
  </r>
  <r>
    <x v="0"/>
    <x v="1"/>
    <x v="9"/>
    <x v="177"/>
    <s v="Mitchell Rales"/>
    <x v="3"/>
    <n v="7659"/>
    <n v="550"/>
    <n v="4212450"/>
    <x v="0"/>
  </r>
  <r>
    <x v="7"/>
    <x v="0"/>
    <x v="9"/>
    <x v="50"/>
    <s v="Ludwig Merckle"/>
    <x v="7"/>
    <n v="3739"/>
    <n v="700"/>
    <n v="2617300"/>
    <x v="0"/>
  </r>
  <r>
    <x v="5"/>
    <x v="1"/>
    <x v="0"/>
    <x v="97"/>
    <s v="Gennady Timchenko"/>
    <x v="9"/>
    <n v="8470"/>
    <n v="1000"/>
    <n v="8470000"/>
    <x v="1"/>
  </r>
  <r>
    <x v="5"/>
    <x v="2"/>
    <x v="11"/>
    <x v="178"/>
    <s v="Andrew Currie"/>
    <x v="3"/>
    <n v="2432"/>
    <n v="1000"/>
    <n v="2432000"/>
    <x v="1"/>
  </r>
  <r>
    <x v="5"/>
    <x v="3"/>
    <x v="0"/>
    <x v="179"/>
    <s v="Jin Baofang"/>
    <x v="5"/>
    <n v="6963"/>
    <n v="1000"/>
    <n v="6963000"/>
    <x v="0"/>
  </r>
  <r>
    <x v="6"/>
    <x v="2"/>
    <x v="9"/>
    <x v="180"/>
    <s v="MacKenzie Scott"/>
    <x v="9"/>
    <n v="4423"/>
    <n v="1600"/>
    <n v="7076800"/>
    <x v="1"/>
  </r>
  <r>
    <x v="9"/>
    <x v="1"/>
    <x v="34"/>
    <x v="181"/>
    <s v="Orlando Bravo"/>
    <x v="8"/>
    <n v="666"/>
    <n v="150"/>
    <n v="99900"/>
    <x v="1"/>
  </r>
  <r>
    <x v="7"/>
    <x v="0"/>
    <x v="20"/>
    <x v="182"/>
    <s v="Carl Bennet"/>
    <x v="11"/>
    <n v="6874"/>
    <n v="700"/>
    <n v="4811800"/>
    <x v="0"/>
  </r>
  <r>
    <x v="8"/>
    <x v="3"/>
    <x v="2"/>
    <x v="34"/>
    <s v="Reinhold Wuerth &amp; family"/>
    <x v="10"/>
    <n v="9002"/>
    <n v="2000"/>
    <n v="18004000"/>
    <x v="0"/>
  </r>
  <r>
    <x v="0"/>
    <x v="3"/>
    <x v="0"/>
    <x v="83"/>
    <s v="Scott Farquhar"/>
    <x v="1"/>
    <n v="7039"/>
    <n v="550"/>
    <n v="3871450"/>
    <x v="1"/>
  </r>
  <r>
    <x v="2"/>
    <x v="0"/>
    <x v="33"/>
    <x v="167"/>
    <s v="Ronda Stryker"/>
    <x v="5"/>
    <n v="9772"/>
    <n v="250"/>
    <n v="2443000"/>
    <x v="0"/>
  </r>
  <r>
    <x v="9"/>
    <x v="1"/>
    <x v="0"/>
    <x v="183"/>
    <s v="Gordon Moore"/>
    <x v="1"/>
    <n v="2328"/>
    <n v="150"/>
    <n v="349200"/>
    <x v="1"/>
  </r>
  <r>
    <x v="11"/>
    <x v="0"/>
    <x v="5"/>
    <x v="7"/>
    <s v="John Reece"/>
    <x v="3"/>
    <n v="7904"/>
    <n v="650"/>
    <n v="5137600"/>
    <x v="0"/>
  </r>
  <r>
    <x v="10"/>
    <x v="2"/>
    <x v="9"/>
    <x v="184"/>
    <s v="Gina Rinehart"/>
    <x v="1"/>
    <n v="9029"/>
    <n v="1500"/>
    <n v="13543500"/>
    <x v="0"/>
  </r>
  <r>
    <x v="10"/>
    <x v="0"/>
    <x v="0"/>
    <x v="185"/>
    <s v="James Chambers"/>
    <x v="2"/>
    <n v="4182"/>
    <n v="1500"/>
    <n v="6273000"/>
    <x v="1"/>
  </r>
  <r>
    <x v="6"/>
    <x v="1"/>
    <x v="17"/>
    <x v="51"/>
    <s v="Chen Bang"/>
    <x v="0"/>
    <n v="721"/>
    <n v="1600"/>
    <n v="1153600"/>
    <x v="0"/>
  </r>
  <r>
    <x v="11"/>
    <x v="0"/>
    <x v="13"/>
    <x v="159"/>
    <s v="Thomas Pritzker"/>
    <x v="1"/>
    <n v="4378"/>
    <n v="650"/>
    <n v="2845700"/>
    <x v="1"/>
  </r>
  <r>
    <x v="1"/>
    <x v="3"/>
    <x v="35"/>
    <x v="186"/>
    <s v="Ravi Jaipuria"/>
    <x v="0"/>
    <n v="8293"/>
    <n v="1440"/>
    <n v="11941920"/>
    <x v="1"/>
  </r>
  <r>
    <x v="8"/>
    <x v="1"/>
    <x v="0"/>
    <x v="187"/>
    <s v="Agnete Kirk Thinggaard"/>
    <x v="3"/>
    <n v="7174"/>
    <n v="2000"/>
    <n v="14348000"/>
    <x v="0"/>
  </r>
  <r>
    <x v="5"/>
    <x v="2"/>
    <x v="0"/>
    <x v="183"/>
    <s v="Zhong Shanshan"/>
    <x v="10"/>
    <n v="9241"/>
    <n v="1000"/>
    <n v="9241000"/>
    <x v="0"/>
  </r>
  <r>
    <x v="4"/>
    <x v="2"/>
    <x v="0"/>
    <x v="188"/>
    <s v="Bill Gates"/>
    <x v="1"/>
    <n v="9655"/>
    <n v="800"/>
    <n v="7724000"/>
    <x v="0"/>
  </r>
  <r>
    <x v="0"/>
    <x v="2"/>
    <x v="0"/>
    <x v="189"/>
    <s v="Jeff Greene"/>
    <x v="8"/>
    <n v="6987"/>
    <n v="550"/>
    <n v="3842850"/>
    <x v="0"/>
  </r>
  <r>
    <x v="9"/>
    <x v="0"/>
    <x v="0"/>
    <x v="17"/>
    <s v="Eric Smidt"/>
    <x v="11"/>
    <n v="1913"/>
    <n v="150"/>
    <n v="286950"/>
    <x v="0"/>
  </r>
  <r>
    <x v="7"/>
    <x v="3"/>
    <x v="9"/>
    <x v="119"/>
    <s v="David Bonderman"/>
    <x v="4"/>
    <n v="3504"/>
    <n v="700"/>
    <n v="2452800"/>
    <x v="0"/>
  </r>
  <r>
    <x v="8"/>
    <x v="3"/>
    <x v="30"/>
    <x v="116"/>
    <s v="Renate Reimann-Haas"/>
    <x v="2"/>
    <n v="1719"/>
    <n v="2000"/>
    <n v="3438000"/>
    <x v="0"/>
  </r>
  <r>
    <x v="2"/>
    <x v="3"/>
    <x v="0"/>
    <x v="190"/>
    <s v="Azim Premji"/>
    <x v="7"/>
    <n v="2784"/>
    <n v="250"/>
    <n v="696000"/>
    <x v="1"/>
  </r>
  <r>
    <x v="2"/>
    <x v="2"/>
    <x v="24"/>
    <x v="70"/>
    <s v="Daniel Gilbert"/>
    <x v="5"/>
    <n v="1877"/>
    <n v="250"/>
    <n v="469250"/>
    <x v="1"/>
  </r>
  <r>
    <x v="6"/>
    <x v="2"/>
    <x v="9"/>
    <x v="92"/>
    <s v="Leon Black"/>
    <x v="11"/>
    <n v="9882"/>
    <n v="1600"/>
    <n v="15811200"/>
    <x v="0"/>
  </r>
  <r>
    <x v="5"/>
    <x v="2"/>
    <x v="17"/>
    <x v="51"/>
    <s v="Chen Jianhua"/>
    <x v="3"/>
    <n v="8177"/>
    <n v="1000"/>
    <n v="8177000"/>
    <x v="0"/>
  </r>
  <r>
    <x v="9"/>
    <x v="0"/>
    <x v="2"/>
    <x v="40"/>
    <s v="Stefan Persson"/>
    <x v="10"/>
    <n v="5161"/>
    <n v="150"/>
    <n v="774150"/>
    <x v="1"/>
  </r>
  <r>
    <x v="4"/>
    <x v="1"/>
    <x v="2"/>
    <x v="108"/>
    <s v="Michael Rubin"/>
    <x v="5"/>
    <n v="4176"/>
    <n v="800"/>
    <n v="3340800"/>
    <x v="1"/>
  </r>
  <r>
    <x v="10"/>
    <x v="2"/>
    <x v="2"/>
    <x v="18"/>
    <s v="Friedhelm Loh"/>
    <x v="4"/>
    <n v="1093"/>
    <n v="1500"/>
    <n v="1639500"/>
    <x v="0"/>
  </r>
  <r>
    <x v="5"/>
    <x v="0"/>
    <x v="0"/>
    <x v="117"/>
    <s v="Chase Coleman, III."/>
    <x v="9"/>
    <n v="7001"/>
    <n v="1000"/>
    <n v="7001000"/>
    <x v="1"/>
  </r>
  <r>
    <x v="11"/>
    <x v="2"/>
    <x v="0"/>
    <x v="191"/>
    <s v="Pei Zhenhua"/>
    <x v="2"/>
    <n v="4089"/>
    <n v="650"/>
    <n v="2657850"/>
    <x v="1"/>
  </r>
  <r>
    <x v="3"/>
    <x v="1"/>
    <x v="0"/>
    <x v="117"/>
    <s v="Charles Koch &amp; family"/>
    <x v="3"/>
    <n v="6661"/>
    <n v="450"/>
    <n v="2997450"/>
    <x v="1"/>
  </r>
  <r>
    <x v="3"/>
    <x v="1"/>
    <x v="20"/>
    <x v="192"/>
    <s v="Alexander Otto"/>
    <x v="9"/>
    <n v="4918"/>
    <n v="450"/>
    <n v="2213100"/>
    <x v="0"/>
  </r>
  <r>
    <x v="6"/>
    <x v="3"/>
    <x v="0"/>
    <x v="22"/>
    <s v="Zhang Yong"/>
    <x v="1"/>
    <n v="4074"/>
    <n v="1600"/>
    <n v="6518400"/>
    <x v="1"/>
  </r>
  <r>
    <x v="9"/>
    <x v="3"/>
    <x v="0"/>
    <x v="43"/>
    <s v="Jerry Jones"/>
    <x v="6"/>
    <n v="5491"/>
    <n v="150"/>
    <n v="823650"/>
    <x v="1"/>
  </r>
  <r>
    <x v="0"/>
    <x v="3"/>
    <x v="0"/>
    <x v="193"/>
    <s v="Anthony Bamford &amp; family"/>
    <x v="8"/>
    <n v="2213"/>
    <n v="550"/>
    <n v="1217150"/>
    <x v="0"/>
  </r>
  <r>
    <x v="6"/>
    <x v="1"/>
    <x v="17"/>
    <x v="194"/>
    <s v="Tatyana Bakalchuk"/>
    <x v="11"/>
    <n v="5483"/>
    <n v="1600"/>
    <n v="8772800"/>
    <x v="1"/>
  </r>
  <r>
    <x v="3"/>
    <x v="0"/>
    <x v="7"/>
    <x v="126"/>
    <s v="Fredrik Lundberg"/>
    <x v="3"/>
    <n v="2755"/>
    <n v="450"/>
    <n v="1239750"/>
    <x v="0"/>
  </r>
  <r>
    <x v="9"/>
    <x v="2"/>
    <x v="0"/>
    <x v="195"/>
    <s v="Ken Griffin"/>
    <x v="1"/>
    <n v="9610"/>
    <n v="150"/>
    <n v="1441500"/>
    <x v="0"/>
  </r>
  <r>
    <x v="9"/>
    <x v="3"/>
    <x v="6"/>
    <x v="196"/>
    <s v="Wang Yusuo &amp; family"/>
    <x v="2"/>
    <n v="7073"/>
    <n v="150"/>
    <n v="1060950"/>
    <x v="1"/>
  </r>
  <r>
    <x v="9"/>
    <x v="3"/>
    <x v="0"/>
    <x v="22"/>
    <s v="Andrei Skoch &amp; family"/>
    <x v="11"/>
    <n v="6170"/>
    <n v="150"/>
    <n v="925500"/>
    <x v="1"/>
  </r>
  <r>
    <x v="9"/>
    <x v="2"/>
    <x v="2"/>
    <x v="34"/>
    <s v="Josh Harris"/>
    <x v="1"/>
    <n v="3949"/>
    <n v="150"/>
    <n v="592350"/>
    <x v="0"/>
  </r>
  <r>
    <x v="3"/>
    <x v="0"/>
    <x v="17"/>
    <x v="131"/>
    <s v="Roman Abramovich &amp; family"/>
    <x v="7"/>
    <n v="5450"/>
    <n v="450"/>
    <n v="2452500"/>
    <x v="1"/>
  </r>
  <r>
    <x v="10"/>
    <x v="1"/>
    <x v="0"/>
    <x v="183"/>
    <s v="Leonard Lauder"/>
    <x v="5"/>
    <n v="1385"/>
    <n v="1500"/>
    <n v="2077500"/>
    <x v="0"/>
  </r>
  <r>
    <x v="2"/>
    <x v="1"/>
    <x v="11"/>
    <x v="178"/>
    <s v="Phil Knight &amp; family"/>
    <x v="6"/>
    <n v="1285"/>
    <n v="250"/>
    <n v="321250"/>
    <x v="0"/>
  </r>
  <r>
    <x v="9"/>
    <x v="1"/>
    <x v="29"/>
    <x v="114"/>
    <s v="Vladimir Lisin"/>
    <x v="6"/>
    <n v="4630"/>
    <n v="150"/>
    <n v="694500"/>
    <x v="0"/>
  </r>
  <r>
    <x v="2"/>
    <x v="2"/>
    <x v="11"/>
    <x v="46"/>
    <s v="Robert Pera"/>
    <x v="0"/>
    <n v="6995"/>
    <n v="250"/>
    <n v="1748750"/>
    <x v="0"/>
  </r>
  <r>
    <x v="1"/>
    <x v="3"/>
    <x v="0"/>
    <x v="113"/>
    <s v="Marie-Hélène Habert-Dassault"/>
    <x v="8"/>
    <n v="8200"/>
    <n v="1440"/>
    <n v="11808000"/>
    <x v="1"/>
  </r>
  <r>
    <x v="9"/>
    <x v="2"/>
    <x v="6"/>
    <x v="9"/>
    <s v="Klaus-Michael Kuehne"/>
    <x v="9"/>
    <n v="8627"/>
    <n v="150"/>
    <n v="1294050"/>
    <x v="0"/>
  </r>
  <r>
    <x v="10"/>
    <x v="3"/>
    <x v="0"/>
    <x v="22"/>
    <s v="Liu Jincheng &amp; family"/>
    <x v="2"/>
    <n v="3655"/>
    <n v="1500"/>
    <n v="5482500"/>
    <x v="0"/>
  </r>
  <r>
    <x v="6"/>
    <x v="3"/>
    <x v="0"/>
    <x v="197"/>
    <s v="Lakshmi Mittal"/>
    <x v="8"/>
    <n v="5226"/>
    <n v="1600"/>
    <n v="8361600"/>
    <x v="0"/>
  </r>
  <r>
    <x v="2"/>
    <x v="2"/>
    <x v="20"/>
    <x v="82"/>
    <s v="Pang Kang"/>
    <x v="9"/>
    <n v="3352"/>
    <n v="250"/>
    <n v="838000"/>
    <x v="1"/>
  </r>
  <r>
    <x v="6"/>
    <x v="2"/>
    <x v="0"/>
    <x v="198"/>
    <s v="Sri Prakash Lohia"/>
    <x v="3"/>
    <n v="573"/>
    <n v="1600"/>
    <n v="916800"/>
    <x v="0"/>
  </r>
  <r>
    <x v="3"/>
    <x v="2"/>
    <x v="24"/>
    <x v="70"/>
    <s v="Vagit Alekperov"/>
    <x v="9"/>
    <n v="8194"/>
    <n v="450"/>
    <n v="3687300"/>
    <x v="1"/>
  </r>
  <r>
    <x v="6"/>
    <x v="2"/>
    <x v="5"/>
    <x v="7"/>
    <s v="Georg Schaeffler"/>
    <x v="5"/>
    <n v="6385"/>
    <n v="1600"/>
    <n v="10216000"/>
    <x v="1"/>
  </r>
  <r>
    <x v="6"/>
    <x v="3"/>
    <x v="0"/>
    <x v="1"/>
    <s v="Lynda Resnick"/>
    <x v="6"/>
    <n v="2794"/>
    <n v="1600"/>
    <n v="4470400"/>
    <x v="0"/>
  </r>
  <r>
    <x v="7"/>
    <x v="2"/>
    <x v="0"/>
    <x v="60"/>
    <s v="Larry Ellison"/>
    <x v="4"/>
    <n v="7384"/>
    <n v="700"/>
    <n v="5168800"/>
    <x v="1"/>
  </r>
  <r>
    <x v="1"/>
    <x v="3"/>
    <x v="2"/>
    <x v="98"/>
    <s v="Ruan Xueping"/>
    <x v="2"/>
    <n v="8821"/>
    <n v="1440"/>
    <n v="12702240"/>
    <x v="0"/>
  </r>
  <r>
    <x v="5"/>
    <x v="1"/>
    <x v="0"/>
    <x v="168"/>
    <s v="Philippe Laffont"/>
    <x v="7"/>
    <n v="740"/>
    <n v="1000"/>
    <n v="740000"/>
    <x v="0"/>
  </r>
  <r>
    <x v="10"/>
    <x v="3"/>
    <x v="11"/>
    <x v="29"/>
    <s v="Low Tuck Kwong"/>
    <x v="2"/>
    <n v="1643"/>
    <n v="1500"/>
    <n v="2464500"/>
    <x v="1"/>
  </r>
  <r>
    <x v="7"/>
    <x v="1"/>
    <x v="0"/>
    <x v="199"/>
    <s v="Ding Shijia"/>
    <x v="3"/>
    <n v="4652"/>
    <n v="700"/>
    <n v="3256400"/>
    <x v="1"/>
  </r>
  <r>
    <x v="3"/>
    <x v="2"/>
    <x v="2"/>
    <x v="200"/>
    <s v="Rick Cohen &amp; family"/>
    <x v="11"/>
    <n v="1844"/>
    <n v="450"/>
    <n v="829800"/>
    <x v="1"/>
  </r>
  <r>
    <x v="9"/>
    <x v="0"/>
    <x v="36"/>
    <x v="201"/>
    <s v="Elizabeth Johnson"/>
    <x v="8"/>
    <n v="3459"/>
    <n v="150"/>
    <n v="518850"/>
    <x v="0"/>
  </r>
  <r>
    <x v="9"/>
    <x v="3"/>
    <x v="23"/>
    <x v="202"/>
    <s v="Patrick Soon-Shiong"/>
    <x v="7"/>
    <n v="2916"/>
    <n v="150"/>
    <n v="437400"/>
    <x v="1"/>
  </r>
  <r>
    <x v="7"/>
    <x v="1"/>
    <x v="7"/>
    <x v="157"/>
    <s v="Ernesto Bertarelli"/>
    <x v="7"/>
    <n v="828"/>
    <n v="700"/>
    <n v="579600"/>
    <x v="1"/>
  </r>
  <r>
    <x v="7"/>
    <x v="2"/>
    <x v="24"/>
    <x v="70"/>
    <s v="Georg Stumpf"/>
    <x v="3"/>
    <n v="9854"/>
    <n v="700"/>
    <n v="6897800"/>
    <x v="1"/>
  </r>
  <r>
    <x v="6"/>
    <x v="1"/>
    <x v="2"/>
    <x v="40"/>
    <s v="Randa Duncan Williams"/>
    <x v="1"/>
    <n v="1488"/>
    <n v="1600"/>
    <n v="2380800"/>
    <x v="0"/>
  </r>
  <r>
    <x v="9"/>
    <x v="2"/>
    <x v="34"/>
    <x v="181"/>
    <s v="John Malone"/>
    <x v="11"/>
    <n v="2835"/>
    <n v="150"/>
    <n v="425250"/>
    <x v="1"/>
  </r>
  <r>
    <x v="10"/>
    <x v="3"/>
    <x v="0"/>
    <x v="203"/>
    <s v="Robert F. Smith"/>
    <x v="11"/>
    <n v="5710"/>
    <n v="1500"/>
    <n v="8565000"/>
    <x v="0"/>
  </r>
  <r>
    <x v="5"/>
    <x v="0"/>
    <x v="0"/>
    <x v="22"/>
    <s v="Takemitsu Takizaki"/>
    <x v="8"/>
    <n v="1176"/>
    <n v="1000"/>
    <n v="1176000"/>
    <x v="0"/>
  </r>
  <r>
    <x v="3"/>
    <x v="2"/>
    <x v="2"/>
    <x v="98"/>
    <s v="Robert Ng"/>
    <x v="6"/>
    <n v="1377"/>
    <n v="450"/>
    <n v="619650"/>
    <x v="0"/>
  </r>
  <r>
    <x v="9"/>
    <x v="2"/>
    <x v="17"/>
    <x v="51"/>
    <s v="Radovan Vitek"/>
    <x v="5"/>
    <n v="5661"/>
    <n v="150"/>
    <n v="849150"/>
    <x v="0"/>
  </r>
  <r>
    <x v="6"/>
    <x v="3"/>
    <x v="0"/>
    <x v="204"/>
    <s v="Zhang Yiming"/>
    <x v="6"/>
    <n v="3408"/>
    <n v="1600"/>
    <n v="5452800"/>
    <x v="1"/>
  </r>
  <r>
    <x v="0"/>
    <x v="2"/>
    <x v="2"/>
    <x v="34"/>
    <s v="Vinod Adani"/>
    <x v="11"/>
    <n v="4080"/>
    <n v="550"/>
    <n v="2244000"/>
    <x v="1"/>
  </r>
  <r>
    <x v="1"/>
    <x v="3"/>
    <x v="0"/>
    <x v="64"/>
    <s v="Niels Peter Louis-Hansen"/>
    <x v="6"/>
    <n v="8957"/>
    <n v="1440"/>
    <n v="12898080"/>
    <x v="1"/>
  </r>
  <r>
    <x v="0"/>
    <x v="1"/>
    <x v="20"/>
    <x v="205"/>
    <s v="Giorgio Armani"/>
    <x v="2"/>
    <n v="5621"/>
    <n v="550"/>
    <n v="3091550"/>
    <x v="1"/>
  </r>
  <r>
    <x v="0"/>
    <x v="1"/>
    <x v="6"/>
    <x v="59"/>
    <s v="Rodolphe Saadé"/>
    <x v="6"/>
    <n v="3426"/>
    <n v="550"/>
    <n v="1884300"/>
    <x v="0"/>
  </r>
  <r>
    <x v="4"/>
    <x v="3"/>
    <x v="0"/>
    <x v="21"/>
    <s v="Pamela Mars"/>
    <x v="10"/>
    <n v="7909"/>
    <n v="800"/>
    <n v="6327200"/>
    <x v="1"/>
  </r>
  <r>
    <x v="6"/>
    <x v="2"/>
    <x v="0"/>
    <x v="206"/>
    <s v="Ding Shizhong"/>
    <x v="6"/>
    <n v="1913"/>
    <n v="1600"/>
    <n v="3060800"/>
    <x v="1"/>
  </r>
  <r>
    <x v="2"/>
    <x v="3"/>
    <x v="0"/>
    <x v="58"/>
    <s v="Patrick Ryan"/>
    <x v="4"/>
    <n v="8612"/>
    <n v="250"/>
    <n v="2153000"/>
    <x v="0"/>
  </r>
  <r>
    <x v="0"/>
    <x v="2"/>
    <x v="2"/>
    <x v="207"/>
    <s v="Wang Chuanfu"/>
    <x v="1"/>
    <n v="8162"/>
    <n v="550"/>
    <n v="4489100"/>
    <x v="0"/>
  </r>
  <r>
    <x v="8"/>
    <x v="1"/>
    <x v="27"/>
    <x v="103"/>
    <s v="Shiv Nadar"/>
    <x v="3"/>
    <n v="5194"/>
    <n v="2000"/>
    <n v="10388000"/>
    <x v="0"/>
  </r>
  <r>
    <x v="9"/>
    <x v="1"/>
    <x v="0"/>
    <x v="208"/>
    <s v="Sandra Ortega Mera"/>
    <x v="5"/>
    <n v="9654"/>
    <n v="150"/>
    <n v="1448100"/>
    <x v="0"/>
  </r>
  <r>
    <x v="4"/>
    <x v="0"/>
    <x v="0"/>
    <x v="58"/>
    <s v="Trudy Cathy White"/>
    <x v="7"/>
    <n v="8729"/>
    <n v="800"/>
    <n v="6983200"/>
    <x v="1"/>
  </r>
  <r>
    <x v="2"/>
    <x v="3"/>
    <x v="2"/>
    <x v="95"/>
    <s v="Carrie Perrodo &amp; family"/>
    <x v="8"/>
    <n v="7255"/>
    <n v="250"/>
    <n v="1813750"/>
    <x v="0"/>
  </r>
  <r>
    <x v="0"/>
    <x v="2"/>
    <x v="0"/>
    <x v="25"/>
    <s v="Lai Meisong"/>
    <x v="0"/>
    <n v="2892"/>
    <n v="550"/>
    <n v="1590600"/>
    <x v="0"/>
  </r>
  <r>
    <x v="10"/>
    <x v="3"/>
    <x v="0"/>
    <x v="128"/>
    <s v="Gary Rollins"/>
    <x v="7"/>
    <n v="7607"/>
    <n v="1500"/>
    <n v="11410500"/>
    <x v="1"/>
  </r>
  <r>
    <x v="1"/>
    <x v="0"/>
    <x v="24"/>
    <x v="70"/>
    <s v="Lukas Walton"/>
    <x v="4"/>
    <n v="9986"/>
    <n v="1440"/>
    <n v="14379840"/>
    <x v="0"/>
  </r>
  <r>
    <x v="4"/>
    <x v="0"/>
    <x v="22"/>
    <x v="66"/>
    <s v="Andrei Guriev &amp; family"/>
    <x v="10"/>
    <n v="5903"/>
    <n v="800"/>
    <n v="4722400"/>
    <x v="0"/>
  </r>
  <r>
    <x v="11"/>
    <x v="1"/>
    <x v="0"/>
    <x v="209"/>
    <s v="Nassef Sawiris"/>
    <x v="2"/>
    <n v="4613"/>
    <n v="650"/>
    <n v="2998450"/>
    <x v="1"/>
  </r>
  <r>
    <x v="5"/>
    <x v="0"/>
    <x v="20"/>
    <x v="210"/>
    <s v="Manuel Villar"/>
    <x v="7"/>
    <n v="8136"/>
    <n v="1000"/>
    <n v="8136000"/>
    <x v="1"/>
  </r>
  <r>
    <x v="3"/>
    <x v="1"/>
    <x v="2"/>
    <x v="40"/>
    <s v="Ruan Liping"/>
    <x v="0"/>
    <n v="503"/>
    <n v="450"/>
    <n v="226350"/>
    <x v="0"/>
  </r>
  <r>
    <x v="4"/>
    <x v="2"/>
    <x v="2"/>
    <x v="95"/>
    <s v="Tadashi Yanai &amp; family"/>
    <x v="5"/>
    <n v="5678"/>
    <n v="800"/>
    <n v="4542400"/>
    <x v="1"/>
  </r>
  <r>
    <x v="1"/>
    <x v="0"/>
    <x v="29"/>
    <x v="114"/>
    <s v="Zong Qinghou"/>
    <x v="8"/>
    <n v="9282"/>
    <n v="1440"/>
    <n v="13366080"/>
    <x v="0"/>
  </r>
  <r>
    <x v="1"/>
    <x v="0"/>
    <x v="37"/>
    <x v="211"/>
    <s v="Michael Hartono"/>
    <x v="4"/>
    <n v="784"/>
    <n v="1440"/>
    <n v="1128960"/>
    <x v="1"/>
  </r>
  <r>
    <x v="5"/>
    <x v="2"/>
    <x v="2"/>
    <x v="61"/>
    <s v="Jorge Paulo Lemann &amp; family"/>
    <x v="1"/>
    <n v="4898"/>
    <n v="1000"/>
    <n v="4898000"/>
    <x v="1"/>
  </r>
  <r>
    <x v="0"/>
    <x v="0"/>
    <x v="34"/>
    <x v="181"/>
    <s v="Li Xiting"/>
    <x v="1"/>
    <n v="7984"/>
    <n v="550"/>
    <n v="4391200"/>
    <x v="0"/>
  </r>
  <r>
    <x v="2"/>
    <x v="0"/>
    <x v="4"/>
    <x v="6"/>
    <s v="Uday Kotak"/>
    <x v="5"/>
    <n v="1883"/>
    <n v="250"/>
    <n v="470750"/>
    <x v="1"/>
  </r>
  <r>
    <x v="9"/>
    <x v="3"/>
    <x v="0"/>
    <x v="212"/>
    <s v="Jeffery Hildebrand"/>
    <x v="3"/>
    <n v="8332"/>
    <n v="150"/>
    <n v="1249800"/>
    <x v="1"/>
  </r>
  <r>
    <x v="7"/>
    <x v="0"/>
    <x v="24"/>
    <x v="70"/>
    <s v="Antonia Ax:son Johnson &amp; family"/>
    <x v="5"/>
    <n v="9620"/>
    <n v="700"/>
    <n v="6734000"/>
    <x v="0"/>
  </r>
  <r>
    <x v="4"/>
    <x v="2"/>
    <x v="0"/>
    <x v="213"/>
    <s v="Andrew Forrest"/>
    <x v="8"/>
    <n v="5273"/>
    <n v="800"/>
    <n v="4218400"/>
    <x v="0"/>
  </r>
  <r>
    <x v="11"/>
    <x v="1"/>
    <x v="0"/>
    <x v="214"/>
    <s v="Nadia Thiele"/>
    <x v="4"/>
    <n v="7962"/>
    <n v="650"/>
    <n v="5175300"/>
    <x v="1"/>
  </r>
  <r>
    <x v="3"/>
    <x v="3"/>
    <x v="20"/>
    <x v="215"/>
    <s v="Dilip Shanghvi"/>
    <x v="2"/>
    <n v="1571"/>
    <n v="450"/>
    <n v="706950"/>
    <x v="1"/>
  </r>
  <r>
    <x v="10"/>
    <x v="1"/>
    <x v="24"/>
    <x v="70"/>
    <s v="Thomas Frist, Jr. &amp; family"/>
    <x v="10"/>
    <n v="2810"/>
    <n v="1500"/>
    <n v="4215000"/>
    <x v="1"/>
  </r>
  <r>
    <x v="8"/>
    <x v="2"/>
    <x v="0"/>
    <x v="60"/>
    <s v="Annette Lerner &amp; family"/>
    <x v="9"/>
    <n v="9376"/>
    <n v="2000"/>
    <n v="18752000"/>
    <x v="1"/>
  </r>
  <r>
    <x v="5"/>
    <x v="0"/>
    <x v="2"/>
    <x v="216"/>
    <s v="John Morris"/>
    <x v="4"/>
    <n v="1131"/>
    <n v="1000"/>
    <n v="1131000"/>
    <x v="0"/>
  </r>
  <r>
    <x v="4"/>
    <x v="3"/>
    <x v="2"/>
    <x v="133"/>
    <s v="Nancy Walton Laurie"/>
    <x v="5"/>
    <n v="1587"/>
    <n v="800"/>
    <n v="1269600"/>
    <x v="0"/>
  </r>
  <r>
    <x v="10"/>
    <x v="3"/>
    <x v="38"/>
    <x v="217"/>
    <s v="Suleiman Kerimov &amp; family"/>
    <x v="7"/>
    <n v="838"/>
    <n v="1500"/>
    <n v="1257000"/>
    <x v="1"/>
  </r>
  <r>
    <x v="9"/>
    <x v="0"/>
    <x v="0"/>
    <x v="218"/>
    <s v="David Siegel"/>
    <x v="9"/>
    <n v="1742"/>
    <n v="150"/>
    <n v="261300"/>
    <x v="0"/>
  </r>
  <r>
    <x v="1"/>
    <x v="3"/>
    <x v="22"/>
    <x v="66"/>
    <s v="Thomas Schmidheiny"/>
    <x v="4"/>
    <n v="2776"/>
    <n v="1440"/>
    <n v="3997440"/>
    <x v="0"/>
  </r>
  <r>
    <x v="0"/>
    <x v="3"/>
    <x v="2"/>
    <x v="34"/>
    <s v="Vikram Lal &amp; family"/>
    <x v="10"/>
    <n v="5008"/>
    <n v="550"/>
    <n v="2754400"/>
    <x v="0"/>
  </r>
  <r>
    <x v="9"/>
    <x v="3"/>
    <x v="4"/>
    <x v="90"/>
    <s v="Ray Dalio"/>
    <x v="11"/>
    <n v="5207"/>
    <n v="150"/>
    <n v="781050"/>
    <x v="1"/>
  </r>
  <r>
    <x v="2"/>
    <x v="1"/>
    <x v="0"/>
    <x v="219"/>
    <s v="Liang Wengen"/>
    <x v="8"/>
    <n v="7847"/>
    <n v="250"/>
    <n v="1961750"/>
    <x v="0"/>
  </r>
  <r>
    <x v="8"/>
    <x v="1"/>
    <x v="17"/>
    <x v="51"/>
    <s v="Joe Gebbia"/>
    <x v="10"/>
    <n v="8648"/>
    <n v="2000"/>
    <n v="17296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5">
  <location ref="A5:B17" firstHeaderRow="1" firstDataRow="1" firstDataCol="1" rowPageCount="1" colPageCount="1"/>
  <pivotFields count="10">
    <pivotField axis="axisRow" showAll="0">
      <items count="13">
        <item x="8"/>
        <item x="11"/>
        <item x="6"/>
        <item x="9"/>
        <item x="10"/>
        <item x="3"/>
        <item x="4"/>
        <item x="2"/>
        <item x="7"/>
        <item x="1"/>
        <item x="0"/>
        <item x="5"/>
        <item t="default"/>
      </items>
    </pivotField>
    <pivotField showAll="0"/>
    <pivotField axis="axisPage" multipleItemSelectionAllowed="1" showAll="0">
      <items count="40">
        <item h="1" x="4"/>
        <item h="1" x="30"/>
        <item h="1" x="16"/>
        <item h="1" x="38"/>
        <item h="1" x="7"/>
        <item h="1" x="37"/>
        <item h="1" x="2"/>
        <item h="1" x="18"/>
        <item h="1" x="34"/>
        <item h="1" x="23"/>
        <item h="1" x="8"/>
        <item h="1" x="6"/>
        <item x="9"/>
        <item h="1" x="11"/>
        <item h="1" x="13"/>
        <item h="1" x="28"/>
        <item h="1" x="3"/>
        <item h="1" x="29"/>
        <item h="1" x="15"/>
        <item h="1" x="27"/>
        <item h="1" x="32"/>
        <item h="1" x="35"/>
        <item h="1" x="10"/>
        <item h="1" x="25"/>
        <item h="1" x="1"/>
        <item h="1" x="12"/>
        <item h="1" x="24"/>
        <item h="1" x="5"/>
        <item h="1" x="31"/>
        <item h="1" x="26"/>
        <item h="1" x="33"/>
        <item h="1" x="22"/>
        <item h="1" x="20"/>
        <item h="1" x="19"/>
        <item h="1" x="36"/>
        <item h="1" x="21"/>
        <item h="1" x="14"/>
        <item h="1" x="17"/>
        <item h="1" x="0"/>
        <item t="default"/>
      </items>
    </pivotField>
    <pivotField showAll="0"/>
    <pivotField showAll="0"/>
    <pivotField showAll="0"/>
    <pivotField showAll="0"/>
    <pivotField showAll="0"/>
    <pivotField dataField="1" showAll="0"/>
    <pivotField showAll="0"/>
  </pivotFields>
  <rowFields count="1">
    <field x="0"/>
  </rowFields>
  <rowItems count="12">
    <i>
      <x/>
    </i>
    <i>
      <x v="1"/>
    </i>
    <i>
      <x v="2"/>
    </i>
    <i>
      <x v="3"/>
    </i>
    <i>
      <x v="4"/>
    </i>
    <i>
      <x v="5"/>
    </i>
    <i>
      <x v="6"/>
    </i>
    <i>
      <x v="7"/>
    </i>
    <i>
      <x v="8"/>
    </i>
    <i>
      <x v="10"/>
    </i>
    <i>
      <x v="11"/>
    </i>
    <i t="grand">
      <x/>
    </i>
  </rowItems>
  <colItems count="1">
    <i/>
  </colItems>
  <pageFields count="1">
    <pageField fld="2" hier="-1"/>
  </pageFields>
  <dataFields count="1">
    <dataField name="Sum of Amount" fld="8" baseField="0" baseItem="0"/>
  </dataFields>
  <chartFormats count="1">
    <chartFormat chart="4" format="5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6" indent="0" outline="1" outlineData="1" multipleFieldFilters="0" chartFormat="24">
  <location ref="I20:J30" firstHeaderRow="1" firstDataRow="1" firstDataCol="1"/>
  <pivotFields count="10">
    <pivotField showAll="0"/>
    <pivotField showAll="0"/>
    <pivotField showAll="0">
      <items count="40">
        <item h="1" x="4"/>
        <item h="1" x="30"/>
        <item h="1" x="16"/>
        <item h="1" x="38"/>
        <item h="1" x="7"/>
        <item h="1" x="37"/>
        <item h="1" x="2"/>
        <item h="1" x="18"/>
        <item h="1" x="34"/>
        <item h="1" x="23"/>
        <item h="1" x="8"/>
        <item h="1" x="6"/>
        <item x="9"/>
        <item h="1" x="11"/>
        <item h="1" x="13"/>
        <item h="1" x="28"/>
        <item h="1" x="3"/>
        <item h="1" x="29"/>
        <item h="1" x="15"/>
        <item h="1" x="27"/>
        <item h="1" x="32"/>
        <item h="1" x="35"/>
        <item h="1" x="10"/>
        <item h="1" x="25"/>
        <item h="1" x="1"/>
        <item h="1" x="12"/>
        <item h="1" x="24"/>
        <item h="1" x="5"/>
        <item h="1" x="31"/>
        <item h="1" x="26"/>
        <item h="1" x="33"/>
        <item h="1" x="22"/>
        <item h="1" x="20"/>
        <item h="1" x="19"/>
        <item h="1" x="36"/>
        <item h="1" x="21"/>
        <item h="1" x="14"/>
        <item h="1" x="17"/>
        <item h="1" x="0"/>
        <item t="default"/>
      </items>
    </pivotField>
    <pivotField showAll="0"/>
    <pivotField showAll="0"/>
    <pivotField axis="axisRow" showAll="0">
      <items count="13">
        <item x="0"/>
        <item x="6"/>
        <item x="7"/>
        <item x="8"/>
        <item x="11"/>
        <item x="10"/>
        <item x="5"/>
        <item x="3"/>
        <item x="1"/>
        <item x="4"/>
        <item x="9"/>
        <item x="2"/>
        <item t="default"/>
      </items>
    </pivotField>
    <pivotField showAll="0"/>
    <pivotField showAll="0"/>
    <pivotField dataField="1" showAll="0"/>
    <pivotField showAll="0"/>
  </pivotFields>
  <rowFields count="1">
    <field x="5"/>
  </rowFields>
  <rowItems count="10">
    <i>
      <x v="1"/>
    </i>
    <i>
      <x v="2"/>
    </i>
    <i>
      <x v="3"/>
    </i>
    <i>
      <x v="4"/>
    </i>
    <i>
      <x v="6"/>
    </i>
    <i>
      <x v="7"/>
    </i>
    <i>
      <x v="8"/>
    </i>
    <i>
      <x v="9"/>
    </i>
    <i>
      <x v="10"/>
    </i>
    <i>
      <x v="11"/>
    </i>
  </rowItems>
  <colItems count="1">
    <i/>
  </colItems>
  <dataFields count="1">
    <dataField name="Sum of Amount" fld="8" baseField="0" baseItem="0"/>
  </dataFields>
  <chartFormats count="2">
    <chartFormat chart="21"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location ref="A43:B44" firstHeaderRow="1" firstDataRow="1" firstDataCol="1"/>
  <pivotFields count="10">
    <pivotField axis="axisRow" showAll="0">
      <items count="13">
        <item h="1" x="8"/>
        <item h="1" x="11"/>
        <item h="1" x="6"/>
        <item h="1" x="9"/>
        <item h="1" x="10"/>
        <item h="1" x="3"/>
        <item h="1" x="4"/>
        <item h="1" x="2"/>
        <item h="1" x="7"/>
        <item h="1" x="1"/>
        <item x="0"/>
        <item h="1" x="5"/>
        <item t="default"/>
      </items>
    </pivotField>
    <pivotField showAll="0"/>
    <pivotField showAll="0"/>
    <pivotField showAll="0"/>
    <pivotField dataField="1" showAll="0"/>
    <pivotField showAll="0"/>
    <pivotField showAll="0"/>
    <pivotField showAll="0"/>
    <pivotField showAll="0"/>
    <pivotField showAll="0"/>
  </pivotFields>
  <rowFields count="1">
    <field x="0"/>
  </rowFields>
  <rowItems count="1">
    <i>
      <x v="10"/>
    </i>
  </rowItems>
  <colItems count="1">
    <i/>
  </colItems>
  <dataFields count="1">
    <dataField name="Count of Customer Name" fld="4" subtotal="count" baseField="0" baseItem="0"/>
  </dataFields>
  <chartFormats count="6">
    <chartFormat chart="14" format="4"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17" format="10">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0"/>
          </reference>
        </references>
      </pivotArea>
    </chartFormat>
    <chartFormat chart="18" format="1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colGrandTotals="0" itemPrintTitles="1" createdVersion="6" indent="0" outline="1" outlineData="1" multipleFieldFilters="0" chartFormat="5">
  <location ref="I15:J17" firstHeaderRow="1" firstDataRow="1" firstDataCol="1"/>
  <pivotFields count="10">
    <pivotField showAll="0"/>
    <pivotField showAll="0"/>
    <pivotField showAll="0">
      <items count="40">
        <item h="1" x="4"/>
        <item h="1" x="30"/>
        <item h="1" x="16"/>
        <item h="1" x="38"/>
        <item h="1" x="7"/>
        <item h="1" x="37"/>
        <item h="1" x="2"/>
        <item h="1" x="18"/>
        <item h="1" x="34"/>
        <item h="1" x="23"/>
        <item h="1" x="8"/>
        <item h="1" x="6"/>
        <item x="9"/>
        <item h="1" x="11"/>
        <item h="1" x="13"/>
        <item h="1" x="28"/>
        <item h="1" x="3"/>
        <item h="1" x="29"/>
        <item h="1" x="15"/>
        <item h="1" x="27"/>
        <item h="1" x="32"/>
        <item h="1" x="35"/>
        <item h="1" x="10"/>
        <item h="1" x="25"/>
        <item h="1" x="1"/>
        <item h="1" x="12"/>
        <item h="1" x="24"/>
        <item h="1" x="5"/>
        <item h="1" x="31"/>
        <item h="1" x="26"/>
        <item h="1" x="33"/>
        <item h="1" x="22"/>
        <item h="1" x="20"/>
        <item h="1" x="19"/>
        <item h="1" x="36"/>
        <item h="1" x="21"/>
        <item h="1" x="14"/>
        <item h="1" x="17"/>
        <item h="1" x="0"/>
        <item t="default"/>
      </items>
    </pivotField>
    <pivotField showAll="0"/>
    <pivotField showAll="0"/>
    <pivotField showAll="0"/>
    <pivotField showAll="0"/>
    <pivotField showAll="0"/>
    <pivotField dataField="1" showAll="0"/>
    <pivotField axis="axisRow" showAll="0">
      <items count="3">
        <item x="1"/>
        <item x="0"/>
        <item t="default"/>
      </items>
    </pivotField>
  </pivotFields>
  <rowFields count="1">
    <field x="9"/>
  </rowFields>
  <rowItems count="2">
    <i>
      <x/>
    </i>
    <i>
      <x v="1"/>
    </i>
  </rowItems>
  <colItems count="1">
    <i/>
  </colItems>
  <dataFields count="1">
    <dataField name="Sum of Amount" fld="8" baseField="0" baseItem="0"/>
  </dataFields>
  <chartFormats count="6">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9"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rowGrandTotals="0" colGrandTotals="0" itemPrintTitles="1" createdVersion="6" indent="0" outline="1" outlineData="1" multipleFieldFilters="0">
  <location ref="F5:G9" firstHeaderRow="1" firstDataRow="1" firstDataCol="1"/>
  <pivotFields count="10">
    <pivotField showAll="0"/>
    <pivotField axis="axisRow" showAll="0">
      <items count="5">
        <item x="0"/>
        <item x="2"/>
        <item x="3"/>
        <item x="1"/>
        <item t="default"/>
      </items>
    </pivotField>
    <pivotField showAll="0">
      <items count="40">
        <item h="1" x="4"/>
        <item h="1" x="30"/>
        <item h="1" x="16"/>
        <item h="1" x="38"/>
        <item h="1" x="7"/>
        <item h="1" x="37"/>
        <item h="1" x="2"/>
        <item h="1" x="18"/>
        <item h="1" x="34"/>
        <item h="1" x="23"/>
        <item h="1" x="8"/>
        <item h="1" x="6"/>
        <item x="9"/>
        <item h="1" x="11"/>
        <item h="1" x="13"/>
        <item h="1" x="28"/>
        <item h="1" x="3"/>
        <item h="1" x="29"/>
        <item h="1" x="15"/>
        <item h="1" x="27"/>
        <item h="1" x="32"/>
        <item h="1" x="35"/>
        <item h="1" x="10"/>
        <item h="1" x="25"/>
        <item h="1" x="1"/>
        <item h="1" x="12"/>
        <item h="1" x="24"/>
        <item h="1" x="5"/>
        <item h="1" x="31"/>
        <item h="1" x="26"/>
        <item h="1" x="33"/>
        <item h="1" x="22"/>
        <item h="1" x="20"/>
        <item h="1" x="19"/>
        <item h="1" x="36"/>
        <item h="1" x="21"/>
        <item h="1" x="14"/>
        <item h="1" x="17"/>
        <item h="1" x="0"/>
        <item t="default"/>
      </items>
    </pivotField>
    <pivotField showAll="0"/>
    <pivotField showAll="0"/>
    <pivotField showAll="0"/>
    <pivotField showAll="0"/>
    <pivotField showAll="0"/>
    <pivotField dataField="1" showAll="0"/>
    <pivotField showAll="0"/>
  </pivotFields>
  <rowFields count="1">
    <field x="1"/>
  </rowFields>
  <rowItems count="4">
    <i>
      <x/>
    </i>
    <i>
      <x v="1"/>
    </i>
    <i>
      <x v="2"/>
    </i>
    <i>
      <x v="3"/>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7">
  <location ref="F14:G29" firstHeaderRow="1" firstDataRow="1" firstDataCol="1"/>
  <pivotFields count="10">
    <pivotField showAll="0"/>
    <pivotField showAll="0"/>
    <pivotField showAll="0">
      <items count="40">
        <item h="1" x="4"/>
        <item h="1" x="30"/>
        <item h="1" x="16"/>
        <item h="1" x="38"/>
        <item h="1" x="7"/>
        <item h="1" x="37"/>
        <item h="1" x="2"/>
        <item h="1" x="18"/>
        <item h="1" x="34"/>
        <item h="1" x="23"/>
        <item h="1" x="8"/>
        <item h="1" x="6"/>
        <item x="9"/>
        <item h="1" x="11"/>
        <item h="1" x="13"/>
        <item h="1" x="28"/>
        <item h="1" x="3"/>
        <item h="1" x="29"/>
        <item h="1" x="15"/>
        <item h="1" x="27"/>
        <item h="1" x="32"/>
        <item h="1" x="35"/>
        <item h="1" x="10"/>
        <item h="1" x="25"/>
        <item h="1" x="1"/>
        <item h="1" x="12"/>
        <item h="1" x="24"/>
        <item h="1" x="5"/>
        <item h="1" x="31"/>
        <item h="1" x="26"/>
        <item h="1" x="33"/>
        <item h="1" x="22"/>
        <item h="1" x="20"/>
        <item h="1" x="19"/>
        <item h="1" x="36"/>
        <item h="1" x="21"/>
        <item h="1" x="14"/>
        <item h="1" x="17"/>
        <item h="1" x="0"/>
        <item t="default"/>
      </items>
    </pivotField>
    <pivotField axis="axisRow" showAll="0">
      <items count="221">
        <item x="172"/>
        <item x="104"/>
        <item x="111"/>
        <item x="178"/>
        <item x="0"/>
        <item x="152"/>
        <item x="43"/>
        <item x="58"/>
        <item x="186"/>
        <item x="41"/>
        <item x="184"/>
        <item x="185"/>
        <item x="124"/>
        <item x="49"/>
        <item x="10"/>
        <item x="18"/>
        <item x="44"/>
        <item x="128"/>
        <item x="68"/>
        <item x="216"/>
        <item x="112"/>
        <item x="130"/>
        <item x="71"/>
        <item x="48"/>
        <item x="99"/>
        <item x="115"/>
        <item x="147"/>
        <item x="38"/>
        <item x="163"/>
        <item x="13"/>
        <item x="174"/>
        <item x="198"/>
        <item x="67"/>
        <item x="127"/>
        <item x="108"/>
        <item x="171"/>
        <item x="1"/>
        <item x="143"/>
        <item x="182"/>
        <item x="110"/>
        <item x="25"/>
        <item x="89"/>
        <item x="29"/>
        <item x="139"/>
        <item x="62"/>
        <item x="30"/>
        <item x="165"/>
        <item x="15"/>
        <item x="170"/>
        <item x="166"/>
        <item x="190"/>
        <item x="150"/>
        <item x="154"/>
        <item x="76"/>
        <item x="61"/>
        <item x="180"/>
        <item x="197"/>
        <item x="205"/>
        <item x="82"/>
        <item x="189"/>
        <item x="131"/>
        <item x="72"/>
        <item x="36"/>
        <item x="91"/>
        <item x="69"/>
        <item x="93"/>
        <item x="92"/>
        <item x="122"/>
        <item x="31"/>
        <item x="129"/>
        <item x="3"/>
        <item x="50"/>
        <item x="100"/>
        <item x="155"/>
        <item x="96"/>
        <item x="204"/>
        <item x="24"/>
        <item x="88"/>
        <item x="191"/>
        <item x="113"/>
        <item x="144"/>
        <item x="202"/>
        <item x="102"/>
        <item x="212"/>
        <item x="11"/>
        <item x="187"/>
        <item x="201"/>
        <item x="83"/>
        <item x="159"/>
        <item x="132"/>
        <item x="55"/>
        <item x="125"/>
        <item x="179"/>
        <item x="26"/>
        <item x="137"/>
        <item x="33"/>
        <item x="28"/>
        <item x="14"/>
        <item x="167"/>
        <item x="19"/>
        <item x="142"/>
        <item x="140"/>
        <item x="195"/>
        <item x="81"/>
        <item x="45"/>
        <item x="219"/>
        <item x="200"/>
        <item x="208"/>
        <item x="51"/>
        <item x="183"/>
        <item x="21"/>
        <item x="87"/>
        <item x="196"/>
        <item x="164"/>
        <item x="141"/>
        <item x="169"/>
        <item x="2"/>
        <item x="59"/>
        <item x="101"/>
        <item x="60"/>
        <item x="138"/>
        <item x="103"/>
        <item x="64"/>
        <item x="206"/>
        <item x="109"/>
        <item x="4"/>
        <item x="218"/>
        <item x="156"/>
        <item x="193"/>
        <item x="136"/>
        <item x="12"/>
        <item x="70"/>
        <item x="120"/>
        <item x="160"/>
        <item x="46"/>
        <item x="119"/>
        <item x="207"/>
        <item x="74"/>
        <item x="213"/>
        <item x="77"/>
        <item x="63"/>
        <item x="135"/>
        <item x="22"/>
        <item x="194"/>
        <item x="8"/>
        <item x="214"/>
        <item x="98"/>
        <item x="95"/>
        <item x="79"/>
        <item x="47"/>
        <item x="188"/>
        <item x="175"/>
        <item x="85"/>
        <item x="149"/>
        <item x="97"/>
        <item x="117"/>
        <item x="9"/>
        <item x="158"/>
        <item x="90"/>
        <item x="78"/>
        <item x="145"/>
        <item x="65"/>
        <item x="5"/>
        <item x="181"/>
        <item x="161"/>
        <item x="133"/>
        <item x="153"/>
        <item x="73"/>
        <item x="52"/>
        <item x="84"/>
        <item x="16"/>
        <item x="192"/>
        <item x="123"/>
        <item x="126"/>
        <item x="57"/>
        <item x="121"/>
        <item x="199"/>
        <item x="20"/>
        <item x="39"/>
        <item x="56"/>
        <item x="209"/>
        <item x="211"/>
        <item x="217"/>
        <item x="148"/>
        <item x="80"/>
        <item x="86"/>
        <item x="94"/>
        <item x="34"/>
        <item x="40"/>
        <item x="7"/>
        <item x="23"/>
        <item x="53"/>
        <item x="210"/>
        <item x="168"/>
        <item x="66"/>
        <item x="173"/>
        <item x="42"/>
        <item x="176"/>
        <item x="6"/>
        <item x="32"/>
        <item x="105"/>
        <item x="75"/>
        <item x="114"/>
        <item x="118"/>
        <item x="54"/>
        <item x="177"/>
        <item x="157"/>
        <item x="27"/>
        <item x="146"/>
        <item x="116"/>
        <item x="37"/>
        <item x="151"/>
        <item x="106"/>
        <item x="203"/>
        <item x="17"/>
        <item x="107"/>
        <item x="162"/>
        <item x="134"/>
        <item x="35"/>
        <item x="215"/>
        <item t="default"/>
      </items>
    </pivotField>
    <pivotField showAll="0"/>
    <pivotField showAll="0"/>
    <pivotField showAll="0"/>
    <pivotField showAll="0"/>
    <pivotField dataField="1" showAll="0"/>
    <pivotField showAll="0"/>
  </pivotFields>
  <rowFields count="1">
    <field x="3"/>
  </rowFields>
  <rowItems count="15">
    <i>
      <x v="10"/>
    </i>
    <i>
      <x v="55"/>
    </i>
    <i>
      <x v="65"/>
    </i>
    <i>
      <x v="66"/>
    </i>
    <i>
      <x v="71"/>
    </i>
    <i>
      <x v="74"/>
    </i>
    <i>
      <x v="97"/>
    </i>
    <i>
      <x v="133"/>
    </i>
    <i>
      <x v="135"/>
    </i>
    <i>
      <x v="139"/>
    </i>
    <i>
      <x v="157"/>
    </i>
    <i>
      <x v="199"/>
    </i>
    <i>
      <x v="205"/>
    </i>
    <i>
      <x v="210"/>
    </i>
    <i t="grand">
      <x/>
    </i>
  </rowItems>
  <colItems count="1">
    <i/>
  </colItems>
  <dataFields count="1">
    <dataField name="Sum of Amount" fld="8" baseField="0" baseItem="0"/>
  </dataFields>
  <chartFormats count="49">
    <chartFormat chart="4" format="0" series="1">
      <pivotArea type="data" outline="0" fieldPosition="0">
        <references count="1">
          <reference field="4294967294" count="1" selected="0">
            <x v="0"/>
          </reference>
        </references>
      </pivotArea>
    </chartFormat>
    <chartFormat chart="6" format="71" series="1">
      <pivotArea type="data" outline="0" fieldPosition="0">
        <references count="1">
          <reference field="4294967294" count="1" selected="0">
            <x v="0"/>
          </reference>
        </references>
      </pivotArea>
    </chartFormat>
    <chartFormat chart="6" format="72">
      <pivotArea type="data" outline="0" fieldPosition="0">
        <references count="2">
          <reference field="4294967294" count="1" selected="0">
            <x v="0"/>
          </reference>
          <reference field="3" count="1" selected="0">
            <x v="3"/>
          </reference>
        </references>
      </pivotArea>
    </chartFormat>
    <chartFormat chart="6" format="73">
      <pivotArea type="data" outline="0" fieldPosition="0">
        <references count="2">
          <reference field="4294967294" count="1" selected="0">
            <x v="0"/>
          </reference>
          <reference field="3" count="1" selected="0">
            <x v="12"/>
          </reference>
        </references>
      </pivotArea>
    </chartFormat>
    <chartFormat chart="6" format="74">
      <pivotArea type="data" outline="0" fieldPosition="0">
        <references count="2">
          <reference field="4294967294" count="1" selected="0">
            <x v="0"/>
          </reference>
          <reference field="3" count="1" selected="0">
            <x v="42"/>
          </reference>
        </references>
      </pivotArea>
    </chartFormat>
    <chartFormat chart="6" format="75">
      <pivotArea type="data" outline="0" fieldPosition="0">
        <references count="2">
          <reference field="4294967294" count="1" selected="0">
            <x v="0"/>
          </reference>
          <reference field="3" count="1" selected="0">
            <x v="76"/>
          </reference>
        </references>
      </pivotArea>
    </chartFormat>
    <chartFormat chart="6" format="76">
      <pivotArea type="data" outline="0" fieldPosition="0">
        <references count="2">
          <reference field="4294967294" count="1" selected="0">
            <x v="0"/>
          </reference>
          <reference field="3" count="1" selected="0">
            <x v="94"/>
          </reference>
        </references>
      </pivotArea>
    </chartFormat>
    <chartFormat chart="6" format="77">
      <pivotArea type="data" outline="0" fieldPosition="0">
        <references count="2">
          <reference field="4294967294" count="1" selected="0">
            <x v="0"/>
          </reference>
          <reference field="3" count="1" selected="0">
            <x v="134"/>
          </reference>
        </references>
      </pivotArea>
    </chartFormat>
    <chartFormat chart="6" format="78">
      <pivotArea type="data" outline="0" fieldPosition="0">
        <references count="2">
          <reference field="4294967294" count="1" selected="0">
            <x v="0"/>
          </reference>
          <reference field="3" count="1" selected="0">
            <x v="164"/>
          </reference>
        </references>
      </pivotArea>
    </chartFormat>
    <chartFormat chart="6" format="79">
      <pivotArea type="data" outline="0" fieldPosition="0">
        <references count="2">
          <reference field="4294967294" count="1" selected="0">
            <x v="0"/>
          </reference>
          <reference field="3" count="1" selected="0">
            <x v="10"/>
          </reference>
        </references>
      </pivotArea>
    </chartFormat>
    <chartFormat chart="6" format="80">
      <pivotArea type="data" outline="0" fieldPosition="0">
        <references count="2">
          <reference field="4294967294" count="1" selected="0">
            <x v="0"/>
          </reference>
          <reference field="3" count="1" selected="0">
            <x v="55"/>
          </reference>
        </references>
      </pivotArea>
    </chartFormat>
    <chartFormat chart="6" format="81">
      <pivotArea type="data" outline="0" fieldPosition="0">
        <references count="2">
          <reference field="4294967294" count="1" selected="0">
            <x v="0"/>
          </reference>
          <reference field="3" count="1" selected="0">
            <x v="65"/>
          </reference>
        </references>
      </pivotArea>
    </chartFormat>
    <chartFormat chart="6" format="82">
      <pivotArea type="data" outline="0" fieldPosition="0">
        <references count="2">
          <reference field="4294967294" count="1" selected="0">
            <x v="0"/>
          </reference>
          <reference field="3" count="1" selected="0">
            <x v="66"/>
          </reference>
        </references>
      </pivotArea>
    </chartFormat>
    <chartFormat chart="6" format="83">
      <pivotArea type="data" outline="0" fieldPosition="0">
        <references count="2">
          <reference field="4294967294" count="1" selected="0">
            <x v="0"/>
          </reference>
          <reference field="3" count="1" selected="0">
            <x v="71"/>
          </reference>
        </references>
      </pivotArea>
    </chartFormat>
    <chartFormat chart="6" format="84">
      <pivotArea type="data" outline="0" fieldPosition="0">
        <references count="2">
          <reference field="4294967294" count="1" selected="0">
            <x v="0"/>
          </reference>
          <reference field="3" count="1" selected="0">
            <x v="74"/>
          </reference>
        </references>
      </pivotArea>
    </chartFormat>
    <chartFormat chart="6" format="85">
      <pivotArea type="data" outline="0" fieldPosition="0">
        <references count="2">
          <reference field="4294967294" count="1" selected="0">
            <x v="0"/>
          </reference>
          <reference field="3" count="1" selected="0">
            <x v="97"/>
          </reference>
        </references>
      </pivotArea>
    </chartFormat>
    <chartFormat chart="6" format="86">
      <pivotArea type="data" outline="0" fieldPosition="0">
        <references count="2">
          <reference field="4294967294" count="1" selected="0">
            <x v="0"/>
          </reference>
          <reference field="3" count="1" selected="0">
            <x v="133"/>
          </reference>
        </references>
      </pivotArea>
    </chartFormat>
    <chartFormat chart="6" format="87">
      <pivotArea type="data" outline="0" fieldPosition="0">
        <references count="2">
          <reference field="4294967294" count="1" selected="0">
            <x v="0"/>
          </reference>
          <reference field="3" count="1" selected="0">
            <x v="135"/>
          </reference>
        </references>
      </pivotArea>
    </chartFormat>
    <chartFormat chart="6" format="88">
      <pivotArea type="data" outline="0" fieldPosition="0">
        <references count="2">
          <reference field="4294967294" count="1" selected="0">
            <x v="0"/>
          </reference>
          <reference field="3" count="1" selected="0">
            <x v="139"/>
          </reference>
        </references>
      </pivotArea>
    </chartFormat>
    <chartFormat chart="6" format="89">
      <pivotArea type="data" outline="0" fieldPosition="0">
        <references count="2">
          <reference field="4294967294" count="1" selected="0">
            <x v="0"/>
          </reference>
          <reference field="3" count="1" selected="0">
            <x v="157"/>
          </reference>
        </references>
      </pivotArea>
    </chartFormat>
    <chartFormat chart="6" format="90">
      <pivotArea type="data" outline="0" fieldPosition="0">
        <references count="2">
          <reference field="4294967294" count="1" selected="0">
            <x v="0"/>
          </reference>
          <reference field="3" count="1" selected="0">
            <x v="199"/>
          </reference>
        </references>
      </pivotArea>
    </chartFormat>
    <chartFormat chart="6" format="91">
      <pivotArea type="data" outline="0" fieldPosition="0">
        <references count="2">
          <reference field="4294967294" count="1" selected="0">
            <x v="0"/>
          </reference>
          <reference field="3" count="1" selected="0">
            <x v="205"/>
          </reference>
        </references>
      </pivotArea>
    </chartFormat>
    <chartFormat chart="6" format="92">
      <pivotArea type="data" outline="0" fieldPosition="0">
        <references count="2">
          <reference field="4294967294" count="1" selected="0">
            <x v="0"/>
          </reference>
          <reference field="3" count="1" selected="0">
            <x v="210"/>
          </reference>
        </references>
      </pivotArea>
    </chartFormat>
    <chartFormat chart="6" format="93">
      <pivotArea type="data" outline="0" fieldPosition="0">
        <references count="2">
          <reference field="4294967294" count="1" selected="0">
            <x v="0"/>
          </reference>
          <reference field="3" count="1" selected="0">
            <x v="14"/>
          </reference>
        </references>
      </pivotArea>
    </chartFormat>
    <chartFormat chart="6" format="94">
      <pivotArea type="data" outline="0" fieldPosition="0">
        <references count="2">
          <reference field="4294967294" count="1" selected="0">
            <x v="0"/>
          </reference>
          <reference field="3" count="1" selected="0">
            <x v="15"/>
          </reference>
        </references>
      </pivotArea>
    </chartFormat>
    <chartFormat chart="6" format="95">
      <pivotArea type="data" outline="0" fieldPosition="0">
        <references count="2">
          <reference field="4294967294" count="1" selected="0">
            <x v="0"/>
          </reference>
          <reference field="3" count="1" selected="0">
            <x v="19"/>
          </reference>
        </references>
      </pivotArea>
    </chartFormat>
    <chartFormat chart="6" format="96">
      <pivotArea type="data" outline="0" fieldPosition="0">
        <references count="2">
          <reference field="4294967294" count="1" selected="0">
            <x v="0"/>
          </reference>
          <reference field="3" count="1" selected="0">
            <x v="32"/>
          </reference>
        </references>
      </pivotArea>
    </chartFormat>
    <chartFormat chart="6" format="97">
      <pivotArea type="data" outline="0" fieldPosition="0">
        <references count="2">
          <reference field="4294967294" count="1" selected="0">
            <x v="0"/>
          </reference>
          <reference field="3" count="1" selected="0">
            <x v="33"/>
          </reference>
        </references>
      </pivotArea>
    </chartFormat>
    <chartFormat chart="6" format="98">
      <pivotArea type="data" outline="0" fieldPosition="0">
        <references count="2">
          <reference field="4294967294" count="1" selected="0">
            <x v="0"/>
          </reference>
          <reference field="3" count="1" selected="0">
            <x v="34"/>
          </reference>
        </references>
      </pivotArea>
    </chartFormat>
    <chartFormat chart="6" format="99">
      <pivotArea type="data" outline="0" fieldPosition="0">
        <references count="2">
          <reference field="4294967294" count="1" selected="0">
            <x v="0"/>
          </reference>
          <reference field="3" count="1" selected="0">
            <x v="37"/>
          </reference>
        </references>
      </pivotArea>
    </chartFormat>
    <chartFormat chart="6" format="100">
      <pivotArea type="data" outline="0" fieldPosition="0">
        <references count="2">
          <reference field="4294967294" count="1" selected="0">
            <x v="0"/>
          </reference>
          <reference field="3" count="1" selected="0">
            <x v="54"/>
          </reference>
        </references>
      </pivotArea>
    </chartFormat>
    <chartFormat chart="6" format="101">
      <pivotArea type="data" outline="0" fieldPosition="0">
        <references count="2">
          <reference field="4294967294" count="1" selected="0">
            <x v="0"/>
          </reference>
          <reference field="3" count="1" selected="0">
            <x v="64"/>
          </reference>
        </references>
      </pivotArea>
    </chartFormat>
    <chartFormat chart="6" format="102">
      <pivotArea type="data" outline="0" fieldPosition="0">
        <references count="2">
          <reference field="4294967294" count="1" selected="0">
            <x v="0"/>
          </reference>
          <reference field="3" count="1" selected="0">
            <x v="68"/>
          </reference>
        </references>
      </pivotArea>
    </chartFormat>
    <chartFormat chart="6" format="103">
      <pivotArea type="data" outline="0" fieldPosition="0">
        <references count="2">
          <reference field="4294967294" count="1" selected="0">
            <x v="0"/>
          </reference>
          <reference field="3" count="1" selected="0">
            <x v="70"/>
          </reference>
        </references>
      </pivotArea>
    </chartFormat>
    <chartFormat chart="6" format="104">
      <pivotArea type="data" outline="0" fieldPosition="0">
        <references count="2">
          <reference field="4294967294" count="1" selected="0">
            <x v="0"/>
          </reference>
          <reference field="3" count="1" selected="0">
            <x v="80"/>
          </reference>
        </references>
      </pivotArea>
    </chartFormat>
    <chartFormat chart="6" format="105">
      <pivotArea type="data" outline="0" fieldPosition="0">
        <references count="2">
          <reference field="4294967294" count="1" selected="0">
            <x v="0"/>
          </reference>
          <reference field="3" count="1" selected="0">
            <x v="101"/>
          </reference>
        </references>
      </pivotArea>
    </chartFormat>
    <chartFormat chart="6" format="106">
      <pivotArea type="data" outline="0" fieldPosition="0">
        <references count="2">
          <reference field="4294967294" count="1" selected="0">
            <x v="0"/>
          </reference>
          <reference field="3" count="1" selected="0">
            <x v="106"/>
          </reference>
        </references>
      </pivotArea>
    </chartFormat>
    <chartFormat chart="6" format="107">
      <pivotArea type="data" outline="0" fieldPosition="0">
        <references count="2">
          <reference field="4294967294" count="1" selected="0">
            <x v="0"/>
          </reference>
          <reference field="3" count="1" selected="0">
            <x v="136"/>
          </reference>
        </references>
      </pivotArea>
    </chartFormat>
    <chartFormat chart="6" format="108">
      <pivotArea type="data" outline="0" fieldPosition="0">
        <references count="2">
          <reference field="4294967294" count="1" selected="0">
            <x v="0"/>
          </reference>
          <reference field="3" count="1" selected="0">
            <x v="146"/>
          </reference>
        </references>
      </pivotArea>
    </chartFormat>
    <chartFormat chart="6" format="109">
      <pivotArea type="data" outline="0" fieldPosition="0">
        <references count="2">
          <reference field="4294967294" count="1" selected="0">
            <x v="0"/>
          </reference>
          <reference field="3" count="1" selected="0">
            <x v="147"/>
          </reference>
        </references>
      </pivotArea>
    </chartFormat>
    <chartFormat chart="6" format="110">
      <pivotArea type="data" outline="0" fieldPosition="0">
        <references count="2">
          <reference field="4294967294" count="1" selected="0">
            <x v="0"/>
          </reference>
          <reference field="3" count="1" selected="0">
            <x v="165"/>
          </reference>
        </references>
      </pivotArea>
    </chartFormat>
    <chartFormat chart="6" format="111">
      <pivotArea type="data" outline="0" fieldPosition="0">
        <references count="2">
          <reference field="4294967294" count="1" selected="0">
            <x v="0"/>
          </reference>
          <reference field="3" count="1" selected="0">
            <x v="187"/>
          </reference>
        </references>
      </pivotArea>
    </chartFormat>
    <chartFormat chart="6" format="112">
      <pivotArea type="data" outline="0" fieldPosition="0">
        <references count="2">
          <reference field="4294967294" count="1" selected="0">
            <x v="0"/>
          </reference>
          <reference field="3" count="1" selected="0">
            <x v="188"/>
          </reference>
        </references>
      </pivotArea>
    </chartFormat>
    <chartFormat chart="6" format="113">
      <pivotArea type="data" outline="0" fieldPosition="0">
        <references count="2">
          <reference field="4294967294" count="1" selected="0">
            <x v="0"/>
          </reference>
          <reference field="3" count="1" selected="0">
            <x v="197"/>
          </reference>
        </references>
      </pivotArea>
    </chartFormat>
    <chartFormat chart="6" format="114">
      <pivotArea type="data" outline="0" fieldPosition="0">
        <references count="2">
          <reference field="4294967294" count="1" selected="0">
            <x v="0"/>
          </reference>
          <reference field="3" count="1" selected="0">
            <x v="215"/>
          </reference>
        </references>
      </pivotArea>
    </chartFormat>
    <chartFormat chart="6" format="115">
      <pivotArea type="data" outline="0" fieldPosition="0">
        <references count="2">
          <reference field="4294967294" count="1" selected="0">
            <x v="0"/>
          </reference>
          <reference field="3" count="1" selected="0">
            <x v="216"/>
          </reference>
        </references>
      </pivotArea>
    </chartFormat>
    <chartFormat chart="6" format="116">
      <pivotArea type="data" outline="0" fieldPosition="0">
        <references count="2">
          <reference field="4294967294" count="1" selected="0">
            <x v="0"/>
          </reference>
          <reference field="3" count="1" selected="0">
            <x v="217"/>
          </reference>
        </references>
      </pivotArea>
    </chartFormat>
    <chartFormat chart="6" format="117">
      <pivotArea type="data" outline="0" fieldPosition="0">
        <references count="2">
          <reference field="4294967294" count="1" selected="0">
            <x v="0"/>
          </reference>
          <reference field="3" count="1" selected="0">
            <x v="218"/>
          </reference>
        </references>
      </pivotArea>
    </chartFormat>
    <chartFormat chart="6" format="118">
      <pivotArea type="data" outline="0" fieldPosition="0">
        <references count="2">
          <reference field="4294967294" count="1" selected="0">
            <x v="0"/>
          </reference>
          <reference field="3" count="1" selected="0">
            <x v="9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chartFormat="5">
  <location ref="A24:B36" firstHeaderRow="1" firstDataRow="1" firstDataCol="1"/>
  <pivotFields count="10">
    <pivotField axis="axisRow" showAll="0">
      <items count="13">
        <item x="8"/>
        <item x="11"/>
        <item x="6"/>
        <item x="9"/>
        <item x="10"/>
        <item x="3"/>
        <item x="4"/>
        <item x="2"/>
        <item x="7"/>
        <item x="1"/>
        <item x="0"/>
        <item x="5"/>
        <item t="default"/>
      </items>
    </pivotField>
    <pivotField showAll="0"/>
    <pivotField showAll="0">
      <items count="40">
        <item h="1" x="4"/>
        <item h="1" x="30"/>
        <item h="1" x="16"/>
        <item h="1" x="38"/>
        <item h="1" x="7"/>
        <item h="1" x="37"/>
        <item h="1" x="2"/>
        <item h="1" x="18"/>
        <item h="1" x="34"/>
        <item h="1" x="23"/>
        <item h="1" x="8"/>
        <item h="1" x="6"/>
        <item x="9"/>
        <item h="1" x="11"/>
        <item h="1" x="13"/>
        <item h="1" x="28"/>
        <item h="1" x="3"/>
        <item h="1" x="29"/>
        <item h="1" x="15"/>
        <item h="1" x="27"/>
        <item h="1" x="32"/>
        <item h="1" x="35"/>
        <item h="1" x="10"/>
        <item h="1" x="25"/>
        <item h="1" x="1"/>
        <item h="1" x="12"/>
        <item h="1" x="24"/>
        <item h="1" x="5"/>
        <item h="1" x="31"/>
        <item h="1" x="26"/>
        <item h="1" x="33"/>
        <item h="1" x="22"/>
        <item h="1" x="20"/>
        <item h="1" x="19"/>
        <item h="1" x="36"/>
        <item h="1" x="21"/>
        <item h="1" x="14"/>
        <item h="1" x="17"/>
        <item h="1" x="0"/>
        <item t="default"/>
      </items>
    </pivotField>
    <pivotField showAll="0"/>
    <pivotField showAll="0"/>
    <pivotField showAll="0"/>
    <pivotField dataField="1" showAll="0"/>
    <pivotField showAll="0"/>
    <pivotField showAll="0"/>
    <pivotField showAll="0"/>
  </pivotFields>
  <rowFields count="1">
    <field x="0"/>
  </rowFields>
  <rowItems count="12">
    <i>
      <x/>
    </i>
    <i>
      <x v="1"/>
    </i>
    <i>
      <x v="2"/>
    </i>
    <i>
      <x v="3"/>
    </i>
    <i>
      <x v="4"/>
    </i>
    <i>
      <x v="5"/>
    </i>
    <i>
      <x v="6"/>
    </i>
    <i>
      <x v="7"/>
    </i>
    <i>
      <x v="8"/>
    </i>
    <i>
      <x v="10"/>
    </i>
    <i>
      <x v="11"/>
    </i>
    <i t="grand">
      <x/>
    </i>
  </rowItems>
  <colItems count="1">
    <i/>
  </colItems>
  <dataFields count="1">
    <dataField name="Sum of Quantity(Stp)" fld="6" baseField="0" baseItem="0"/>
  </dataFields>
  <chartFormats count="8">
    <chartFormat chart="2" format="0"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0"/>
          </reference>
        </references>
      </pivotArea>
    </chartFormat>
    <chartFormat chart="4" format="31">
      <pivotArea type="data" outline="0" fieldPosition="0">
        <references count="2">
          <reference field="4294967294" count="1" selected="0">
            <x v="0"/>
          </reference>
          <reference field="0" count="1" selected="0">
            <x v="0"/>
          </reference>
        </references>
      </pivotArea>
    </chartFormat>
    <chartFormat chart="4" format="32">
      <pivotArea type="data" outline="0" fieldPosition="0">
        <references count="2">
          <reference field="4294967294" count="1" selected="0">
            <x v="0"/>
          </reference>
          <reference field="0" count="1" selected="0">
            <x v="3"/>
          </reference>
        </references>
      </pivotArea>
    </chartFormat>
    <chartFormat chart="4" format="33">
      <pivotArea type="data" outline="0" fieldPosition="0">
        <references count="2">
          <reference field="4294967294" count="1" selected="0">
            <x v="0"/>
          </reference>
          <reference field="0" count="1" selected="0">
            <x v="5"/>
          </reference>
        </references>
      </pivotArea>
    </chartFormat>
    <chartFormat chart="4" format="34">
      <pivotArea type="data" outline="0" fieldPosition="0">
        <references count="2">
          <reference field="4294967294" count="1" selected="0">
            <x v="0"/>
          </reference>
          <reference field="0" count="1" selected="0">
            <x v="6"/>
          </reference>
        </references>
      </pivotArea>
    </chartFormat>
    <chartFormat chart="4" format="35">
      <pivotArea type="data" outline="0" fieldPosition="0">
        <references count="2">
          <reference field="4294967294" count="1" selected="0">
            <x v="0"/>
          </reference>
          <reference field="0" count="1" selected="0">
            <x v="8"/>
          </reference>
        </references>
      </pivotArea>
    </chartFormat>
    <chartFormat chart="4" format="36">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20:L21" firstHeaderRow="1" firstDataRow="1" firstDataCol="0"/>
  <pivotFields count="1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5" name="PivotTable9"/>
    <pivotTable tabId="5" name="PivotTable10"/>
    <pivotTable tabId="5" name="PivotTable5"/>
    <pivotTable tabId="5" name="PivotTable7"/>
    <pivotTable tabId="5" name="PivotTable8"/>
    <pivotTable tabId="5" name="PivotTable1"/>
  </pivotTables>
  <data>
    <tabular pivotCacheId="2">
      <items count="39">
        <i x="4"/>
        <i x="30"/>
        <i x="16"/>
        <i x="38"/>
        <i x="7"/>
        <i x="37"/>
        <i x="2"/>
        <i x="18"/>
        <i x="34"/>
        <i x="23"/>
        <i x="8"/>
        <i x="6"/>
        <i x="9" s="1"/>
        <i x="11"/>
        <i x="13"/>
        <i x="28"/>
        <i x="3"/>
        <i x="29"/>
        <i x="15"/>
        <i x="27"/>
        <i x="32"/>
        <i x="35"/>
        <i x="10"/>
        <i x="25"/>
        <i x="1"/>
        <i x="12"/>
        <i x="24"/>
        <i x="5"/>
        <i x="31"/>
        <i x="26"/>
        <i x="33"/>
        <i x="22"/>
        <i x="20"/>
        <i x="19"/>
        <i x="36"/>
        <i x="21"/>
        <i x="14"/>
        <i x="17"/>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edicine_name" sourceName="Medicine name">
  <pivotTables>
    <pivotTable tabId="5" name="PivotTable3"/>
  </pivotTables>
  <data>
    <tabular pivotCacheId="2">
      <items count="12">
        <i x="8"/>
        <i x="11"/>
        <i x="6"/>
        <i x="9"/>
        <i x="10"/>
        <i x="3"/>
        <i x="4"/>
        <i x="2"/>
        <i x="7"/>
        <i x="1"/>
        <i x="0" s="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artItem="9" rowHeight="241300"/>
  <slicer name="Medicine name" cache="Slicer_Medicine_name" caption="Medicine name" startItem="1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6"/>
  <sheetViews>
    <sheetView tabSelected="1" zoomScale="85" zoomScaleNormal="85" workbookViewId="0">
      <selection activeCell="C14" sqref="C14"/>
    </sheetView>
  </sheetViews>
  <sheetFormatPr defaultRowHeight="23.25" x14ac:dyDescent="0.35"/>
  <cols>
    <col min="1" max="1" width="25.28515625" style="1" customWidth="1"/>
    <col min="2" max="2" width="13.42578125" style="1" customWidth="1"/>
    <col min="3" max="3" width="23.7109375" style="1" customWidth="1"/>
    <col min="4" max="4" width="20.85546875" style="1" bestFit="1" customWidth="1"/>
    <col min="5" max="5" width="39" style="1" customWidth="1"/>
    <col min="6" max="6" width="12.28515625" style="1" bestFit="1" customWidth="1"/>
    <col min="7" max="7" width="20" style="1" customWidth="1"/>
    <col min="8" max="8" width="12.7109375" style="1" bestFit="1" customWidth="1"/>
    <col min="9" max="9" width="15.5703125" style="1" customWidth="1"/>
    <col min="10" max="10" width="19.28515625" style="1" customWidth="1"/>
    <col min="11" max="16384" width="9.140625" style="1"/>
  </cols>
  <sheetData>
    <row r="1" spans="1:10" x14ac:dyDescent="0.35">
      <c r="A1" s="28" t="s">
        <v>788</v>
      </c>
      <c r="B1" s="28"/>
      <c r="C1" s="28"/>
      <c r="D1" s="28"/>
      <c r="E1" s="28"/>
      <c r="F1" s="28"/>
      <c r="G1" s="28"/>
      <c r="H1" s="28"/>
      <c r="I1" s="28"/>
      <c r="J1" s="28"/>
    </row>
    <row r="2" spans="1:10" x14ac:dyDescent="0.35">
      <c r="A2" s="28"/>
      <c r="B2" s="28"/>
      <c r="C2" s="28"/>
      <c r="D2" s="28"/>
      <c r="E2" s="28"/>
      <c r="F2" s="28"/>
      <c r="G2" s="28"/>
      <c r="H2" s="28"/>
      <c r="I2" s="28"/>
      <c r="J2" s="28"/>
    </row>
    <row r="3" spans="1:10" x14ac:dyDescent="0.35">
      <c r="A3" s="28"/>
      <c r="B3" s="28"/>
      <c r="C3" s="28"/>
      <c r="D3" s="28"/>
      <c r="E3" s="28"/>
      <c r="F3" s="28"/>
      <c r="G3" s="28"/>
      <c r="H3" s="28"/>
      <c r="I3" s="28"/>
      <c r="J3" s="28"/>
    </row>
    <row r="4" spans="1:10" x14ac:dyDescent="0.35">
      <c r="A4" s="24" t="s">
        <v>4</v>
      </c>
      <c r="B4" s="24" t="s">
        <v>5</v>
      </c>
      <c r="C4" s="24" t="s">
        <v>737</v>
      </c>
      <c r="D4" s="24" t="s">
        <v>6</v>
      </c>
      <c r="E4" s="24" t="s">
        <v>7</v>
      </c>
      <c r="F4" s="24" t="s">
        <v>8</v>
      </c>
      <c r="G4" s="24" t="s">
        <v>738</v>
      </c>
      <c r="H4" s="24" t="s">
        <v>739</v>
      </c>
      <c r="I4" s="24" t="s">
        <v>769</v>
      </c>
      <c r="J4" s="24" t="s">
        <v>774</v>
      </c>
    </row>
    <row r="5" spans="1:10" x14ac:dyDescent="0.35">
      <c r="A5" s="11" t="s">
        <v>741</v>
      </c>
      <c r="B5" s="11" t="s">
        <v>742</v>
      </c>
      <c r="C5" s="18" t="s">
        <v>12</v>
      </c>
      <c r="D5" s="18" t="s">
        <v>333</v>
      </c>
      <c r="E5" s="11" t="s">
        <v>334</v>
      </c>
      <c r="F5" s="11" t="s">
        <v>763</v>
      </c>
      <c r="G5" s="11">
        <v>7436</v>
      </c>
      <c r="H5" s="11">
        <f t="shared" ref="H5:H68" si="0">IF(A5="Paracetamol",550,IF(A5="Fluconazole",800,IF(A5="Metformin",700,IF(A5="Diclofenac",1500,IF(A5="Dolo",450,IF(A5="Sumo",1000,IF(A5="Calpol",1600,IF(A5="Lbuprofen",250,IF(A5="Azithroycin",650,IF(A5="Amoxicillin",2000,IF(A5="Omeprazole",1440,IF(A5="Centirizin",150))))))))))))</f>
        <v>550</v>
      </c>
      <c r="I5" s="11">
        <f t="shared" ref="I5:I68" si="1">G5*H5</f>
        <v>4089800</v>
      </c>
      <c r="J5" s="11" t="s">
        <v>775</v>
      </c>
    </row>
    <row r="6" spans="1:10" x14ac:dyDescent="0.35">
      <c r="A6" s="11" t="s">
        <v>766</v>
      </c>
      <c r="B6" s="11" t="s">
        <v>742</v>
      </c>
      <c r="C6" s="18" t="s">
        <v>12</v>
      </c>
      <c r="D6" s="18" t="s">
        <v>148</v>
      </c>
      <c r="E6" s="11" t="s">
        <v>631</v>
      </c>
      <c r="F6" s="11" t="s">
        <v>752</v>
      </c>
      <c r="G6" s="11">
        <v>2570</v>
      </c>
      <c r="H6" s="11">
        <f t="shared" si="0"/>
        <v>1440</v>
      </c>
      <c r="I6" s="11">
        <f t="shared" si="1"/>
        <v>3700800</v>
      </c>
      <c r="J6" s="11" t="s">
        <v>775</v>
      </c>
    </row>
    <row r="7" spans="1:10" x14ac:dyDescent="0.35">
      <c r="A7" s="11" t="s">
        <v>762</v>
      </c>
      <c r="B7" s="11" t="s">
        <v>745</v>
      </c>
      <c r="C7" s="18" t="s">
        <v>392</v>
      </c>
      <c r="D7" s="18" t="s">
        <v>393</v>
      </c>
      <c r="E7" s="11" t="s">
        <v>394</v>
      </c>
      <c r="F7" s="11" t="s">
        <v>757</v>
      </c>
      <c r="G7" s="11">
        <v>7347</v>
      </c>
      <c r="H7" s="11">
        <f t="shared" si="0"/>
        <v>250</v>
      </c>
      <c r="I7" s="11">
        <f t="shared" si="1"/>
        <v>1836750</v>
      </c>
      <c r="J7" s="11" t="s">
        <v>775</v>
      </c>
    </row>
    <row r="8" spans="1:10" x14ac:dyDescent="0.35">
      <c r="A8" s="11" t="s">
        <v>753</v>
      </c>
      <c r="B8" s="11" t="s">
        <v>742</v>
      </c>
      <c r="C8" s="18" t="s">
        <v>40</v>
      </c>
      <c r="D8" s="18" t="s">
        <v>456</v>
      </c>
      <c r="E8" s="11" t="s">
        <v>457</v>
      </c>
      <c r="F8" s="11" t="s">
        <v>759</v>
      </c>
      <c r="G8" s="11">
        <v>2964</v>
      </c>
      <c r="H8" s="11">
        <f t="shared" si="0"/>
        <v>450</v>
      </c>
      <c r="I8" s="11">
        <f t="shared" si="1"/>
        <v>1333800</v>
      </c>
      <c r="J8" s="11" t="s">
        <v>776</v>
      </c>
    </row>
    <row r="9" spans="1:10" x14ac:dyDescent="0.35">
      <c r="A9" s="11" t="s">
        <v>741</v>
      </c>
      <c r="B9" s="11" t="s">
        <v>748</v>
      </c>
      <c r="C9" s="18" t="s">
        <v>266</v>
      </c>
      <c r="D9" s="18" t="s">
        <v>267</v>
      </c>
      <c r="E9" s="11" t="s">
        <v>536</v>
      </c>
      <c r="F9" s="11" t="s">
        <v>749</v>
      </c>
      <c r="G9" s="11">
        <v>9799</v>
      </c>
      <c r="H9" s="11">
        <f t="shared" si="0"/>
        <v>550</v>
      </c>
      <c r="I9" s="11">
        <f t="shared" si="1"/>
        <v>5389450</v>
      </c>
      <c r="J9" s="11" t="s">
        <v>776</v>
      </c>
    </row>
    <row r="10" spans="1:10" x14ac:dyDescent="0.35">
      <c r="A10" s="11" t="s">
        <v>744</v>
      </c>
      <c r="B10" s="11" t="s">
        <v>745</v>
      </c>
      <c r="C10" s="18" t="s">
        <v>12</v>
      </c>
      <c r="D10" s="18" t="s">
        <v>694</v>
      </c>
      <c r="E10" s="11" t="s">
        <v>695</v>
      </c>
      <c r="F10" s="11" t="s">
        <v>761</v>
      </c>
      <c r="G10" s="11">
        <v>4465</v>
      </c>
      <c r="H10" s="11">
        <f t="shared" si="0"/>
        <v>800</v>
      </c>
      <c r="I10" s="11">
        <f t="shared" si="1"/>
        <v>3572000</v>
      </c>
      <c r="J10" s="11" t="s">
        <v>775</v>
      </c>
    </row>
    <row r="11" spans="1:10" x14ac:dyDescent="0.35">
      <c r="A11" s="11" t="s">
        <v>741</v>
      </c>
      <c r="B11" s="11" t="s">
        <v>751</v>
      </c>
      <c r="C11" s="18" t="s">
        <v>108</v>
      </c>
      <c r="D11" s="18" t="s">
        <v>234</v>
      </c>
      <c r="E11" s="11" t="s">
        <v>300</v>
      </c>
      <c r="F11" s="11" t="s">
        <v>746</v>
      </c>
      <c r="G11" s="11">
        <v>4140</v>
      </c>
      <c r="H11" s="11">
        <f t="shared" si="0"/>
        <v>550</v>
      </c>
      <c r="I11" s="11">
        <f t="shared" si="1"/>
        <v>2277000</v>
      </c>
      <c r="J11" s="11" t="s">
        <v>775</v>
      </c>
    </row>
    <row r="12" spans="1:10" x14ac:dyDescent="0.35">
      <c r="A12" s="11" t="s">
        <v>755</v>
      </c>
      <c r="B12" s="11" t="s">
        <v>751</v>
      </c>
      <c r="C12" s="18" t="s">
        <v>215</v>
      </c>
      <c r="D12" s="18" t="s">
        <v>215</v>
      </c>
      <c r="E12" s="11" t="s">
        <v>709</v>
      </c>
      <c r="F12" s="11" t="s">
        <v>767</v>
      </c>
      <c r="G12" s="11">
        <v>9282</v>
      </c>
      <c r="H12" s="11">
        <f t="shared" si="0"/>
        <v>1000</v>
      </c>
      <c r="I12" s="11">
        <f t="shared" si="1"/>
        <v>9282000</v>
      </c>
      <c r="J12" s="11" t="s">
        <v>775</v>
      </c>
    </row>
    <row r="13" spans="1:10" ht="46.5" x14ac:dyDescent="0.35">
      <c r="A13" s="11" t="s">
        <v>760</v>
      </c>
      <c r="B13" s="11" t="s">
        <v>742</v>
      </c>
      <c r="C13" s="18" t="s">
        <v>12</v>
      </c>
      <c r="D13" s="18" t="s">
        <v>179</v>
      </c>
      <c r="E13" s="11" t="s">
        <v>451</v>
      </c>
      <c r="F13" s="11" t="s">
        <v>761</v>
      </c>
      <c r="G13" s="11">
        <v>8287</v>
      </c>
      <c r="H13" s="11">
        <f t="shared" si="0"/>
        <v>1600</v>
      </c>
      <c r="I13" s="11">
        <f t="shared" si="1"/>
        <v>13259200</v>
      </c>
      <c r="J13" s="11" t="s">
        <v>776</v>
      </c>
    </row>
    <row r="14" spans="1:10" x14ac:dyDescent="0.35">
      <c r="A14" s="11" t="s">
        <v>741</v>
      </c>
      <c r="B14" s="11" t="s">
        <v>751</v>
      </c>
      <c r="C14" s="18" t="s">
        <v>9</v>
      </c>
      <c r="D14" s="18" t="s">
        <v>10</v>
      </c>
      <c r="E14" s="11" t="s">
        <v>417</v>
      </c>
      <c r="F14" s="11" t="s">
        <v>761</v>
      </c>
      <c r="G14" s="11">
        <v>5965</v>
      </c>
      <c r="H14" s="11">
        <f t="shared" si="0"/>
        <v>550</v>
      </c>
      <c r="I14" s="11">
        <f t="shared" si="1"/>
        <v>3280750</v>
      </c>
      <c r="J14" s="11" t="s">
        <v>776</v>
      </c>
    </row>
    <row r="15" spans="1:10" x14ac:dyDescent="0.35">
      <c r="A15" s="11" t="s">
        <v>741</v>
      </c>
      <c r="B15" s="11" t="s">
        <v>751</v>
      </c>
      <c r="C15" s="18" t="s">
        <v>40</v>
      </c>
      <c r="D15" s="18" t="s">
        <v>213</v>
      </c>
      <c r="E15" s="11" t="s">
        <v>214</v>
      </c>
      <c r="F15" s="11" t="s">
        <v>754</v>
      </c>
      <c r="G15" s="11">
        <v>9535</v>
      </c>
      <c r="H15" s="11">
        <f t="shared" si="0"/>
        <v>550</v>
      </c>
      <c r="I15" s="11">
        <f t="shared" si="1"/>
        <v>5244250</v>
      </c>
      <c r="J15" s="11" t="s">
        <v>776</v>
      </c>
    </row>
    <row r="16" spans="1:10" x14ac:dyDescent="0.35">
      <c r="A16" s="11" t="s">
        <v>747</v>
      </c>
      <c r="B16" s="11" t="s">
        <v>748</v>
      </c>
      <c r="C16" s="18" t="s">
        <v>392</v>
      </c>
      <c r="D16" s="18" t="s">
        <v>393</v>
      </c>
      <c r="E16" s="11" t="s">
        <v>489</v>
      </c>
      <c r="F16" s="11" t="s">
        <v>749</v>
      </c>
      <c r="G16" s="11">
        <v>2027</v>
      </c>
      <c r="H16" s="11">
        <f t="shared" si="0"/>
        <v>700</v>
      </c>
      <c r="I16" s="11">
        <f t="shared" si="1"/>
        <v>1418900</v>
      </c>
      <c r="J16" s="11" t="s">
        <v>776</v>
      </c>
    </row>
    <row r="17" spans="1:10" x14ac:dyDescent="0.35">
      <c r="A17" s="11" t="s">
        <v>762</v>
      </c>
      <c r="B17" s="11" t="s">
        <v>745</v>
      </c>
      <c r="C17" s="18" t="s">
        <v>12</v>
      </c>
      <c r="D17" s="18" t="s">
        <v>175</v>
      </c>
      <c r="E17" s="11" t="s">
        <v>176</v>
      </c>
      <c r="F17" s="11" t="s">
        <v>768</v>
      </c>
      <c r="G17" s="11">
        <v>5481</v>
      </c>
      <c r="H17" s="11">
        <f t="shared" si="0"/>
        <v>250</v>
      </c>
      <c r="I17" s="11">
        <f t="shared" si="1"/>
        <v>1370250</v>
      </c>
      <c r="J17" s="11" t="s">
        <v>776</v>
      </c>
    </row>
    <row r="18" spans="1:10" x14ac:dyDescent="0.35">
      <c r="A18" s="11" t="s">
        <v>765</v>
      </c>
      <c r="B18" s="11" t="s">
        <v>745</v>
      </c>
      <c r="C18" s="18" t="s">
        <v>52</v>
      </c>
      <c r="D18" s="18" t="s">
        <v>632</v>
      </c>
      <c r="E18" s="11" t="s">
        <v>633</v>
      </c>
      <c r="F18" s="11" t="s">
        <v>757</v>
      </c>
      <c r="G18" s="11">
        <v>1876</v>
      </c>
      <c r="H18" s="11">
        <f t="shared" si="0"/>
        <v>2000</v>
      </c>
      <c r="I18" s="11">
        <f t="shared" si="1"/>
        <v>3752000</v>
      </c>
      <c r="J18" s="11" t="s">
        <v>776</v>
      </c>
    </row>
    <row r="19" spans="1:10" x14ac:dyDescent="0.35">
      <c r="A19" s="11" t="s">
        <v>755</v>
      </c>
      <c r="B19" s="11" t="s">
        <v>745</v>
      </c>
      <c r="C19" s="18" t="s">
        <v>479</v>
      </c>
      <c r="D19" s="18" t="s">
        <v>480</v>
      </c>
      <c r="E19" s="11" t="s">
        <v>481</v>
      </c>
      <c r="F19" s="11" t="s">
        <v>763</v>
      </c>
      <c r="G19" s="11">
        <v>8827</v>
      </c>
      <c r="H19" s="11">
        <f t="shared" si="0"/>
        <v>1000</v>
      </c>
      <c r="I19" s="11">
        <f t="shared" si="1"/>
        <v>8827000</v>
      </c>
      <c r="J19" s="11" t="s">
        <v>775</v>
      </c>
    </row>
    <row r="20" spans="1:10" x14ac:dyDescent="0.35">
      <c r="A20" s="11" t="s">
        <v>741</v>
      </c>
      <c r="B20" s="11" t="s">
        <v>742</v>
      </c>
      <c r="C20" s="18" t="s">
        <v>61</v>
      </c>
      <c r="D20" s="18" t="s">
        <v>99</v>
      </c>
      <c r="E20" s="11" t="s">
        <v>100</v>
      </c>
      <c r="F20" s="11" t="s">
        <v>754</v>
      </c>
      <c r="G20" s="11">
        <v>5990</v>
      </c>
      <c r="H20" s="11">
        <f t="shared" si="0"/>
        <v>550</v>
      </c>
      <c r="I20" s="11">
        <f t="shared" si="1"/>
        <v>3294500</v>
      </c>
      <c r="J20" s="11" t="s">
        <v>776</v>
      </c>
    </row>
    <row r="21" spans="1:10" x14ac:dyDescent="0.35">
      <c r="A21" s="11" t="s">
        <v>755</v>
      </c>
      <c r="B21" s="11" t="s">
        <v>745</v>
      </c>
      <c r="C21" s="18" t="s">
        <v>12</v>
      </c>
      <c r="D21" s="18" t="s">
        <v>103</v>
      </c>
      <c r="E21" s="11" t="s">
        <v>104</v>
      </c>
      <c r="F21" s="11" t="s">
        <v>754</v>
      </c>
      <c r="G21" s="11">
        <v>8579</v>
      </c>
      <c r="H21" s="11">
        <f t="shared" si="0"/>
        <v>1000</v>
      </c>
      <c r="I21" s="11">
        <f t="shared" si="1"/>
        <v>8579000</v>
      </c>
      <c r="J21" s="11" t="s">
        <v>776</v>
      </c>
    </row>
    <row r="22" spans="1:10" x14ac:dyDescent="0.35">
      <c r="A22" s="11" t="s">
        <v>758</v>
      </c>
      <c r="B22" s="11" t="s">
        <v>748</v>
      </c>
      <c r="C22" s="18" t="s">
        <v>12</v>
      </c>
      <c r="D22" s="18" t="s">
        <v>574</v>
      </c>
      <c r="E22" s="11" t="s">
        <v>575</v>
      </c>
      <c r="F22" s="11" t="s">
        <v>767</v>
      </c>
      <c r="G22" s="11">
        <v>9283</v>
      </c>
      <c r="H22" s="11">
        <f t="shared" si="0"/>
        <v>150</v>
      </c>
      <c r="I22" s="11">
        <f t="shared" si="1"/>
        <v>1392450</v>
      </c>
      <c r="J22" s="11" t="s">
        <v>775</v>
      </c>
    </row>
    <row r="23" spans="1:10" x14ac:dyDescent="0.35">
      <c r="A23" s="11" t="s">
        <v>755</v>
      </c>
      <c r="B23" s="11" t="s">
        <v>745</v>
      </c>
      <c r="C23" s="18" t="s">
        <v>12</v>
      </c>
      <c r="D23" s="18" t="s">
        <v>354</v>
      </c>
      <c r="E23" s="11" t="s">
        <v>373</v>
      </c>
      <c r="F23" s="11" t="s">
        <v>754</v>
      </c>
      <c r="G23" s="11">
        <v>7698</v>
      </c>
      <c r="H23" s="11">
        <f t="shared" si="0"/>
        <v>1000</v>
      </c>
      <c r="I23" s="11">
        <f t="shared" si="1"/>
        <v>7698000</v>
      </c>
      <c r="J23" s="11" t="s">
        <v>775</v>
      </c>
    </row>
    <row r="24" spans="1:10" x14ac:dyDescent="0.35">
      <c r="A24" s="11" t="s">
        <v>741</v>
      </c>
      <c r="B24" s="11" t="s">
        <v>742</v>
      </c>
      <c r="C24" s="18" t="s">
        <v>9</v>
      </c>
      <c r="D24" s="18" t="s">
        <v>10</v>
      </c>
      <c r="E24" s="11" t="s">
        <v>11</v>
      </c>
      <c r="F24" s="11" t="s">
        <v>743</v>
      </c>
      <c r="G24" s="11">
        <v>7317</v>
      </c>
      <c r="H24" s="11">
        <f t="shared" si="0"/>
        <v>550</v>
      </c>
      <c r="I24" s="11">
        <f t="shared" si="1"/>
        <v>4024350</v>
      </c>
      <c r="J24" s="11" t="s">
        <v>776</v>
      </c>
    </row>
    <row r="25" spans="1:10" x14ac:dyDescent="0.35">
      <c r="A25" s="11" t="s">
        <v>744</v>
      </c>
      <c r="B25" s="11" t="s">
        <v>745</v>
      </c>
      <c r="C25" s="18" t="s">
        <v>40</v>
      </c>
      <c r="D25" s="18" t="s">
        <v>59</v>
      </c>
      <c r="E25" s="11" t="s">
        <v>343</v>
      </c>
      <c r="F25" s="11" t="s">
        <v>759</v>
      </c>
      <c r="G25" s="11">
        <v>2980</v>
      </c>
      <c r="H25" s="11">
        <f t="shared" si="0"/>
        <v>800</v>
      </c>
      <c r="I25" s="11">
        <f t="shared" si="1"/>
        <v>2384000</v>
      </c>
      <c r="J25" s="11" t="s">
        <v>775</v>
      </c>
    </row>
    <row r="26" spans="1:10" x14ac:dyDescent="0.35">
      <c r="A26" s="11" t="s">
        <v>750</v>
      </c>
      <c r="B26" s="11" t="s">
        <v>751</v>
      </c>
      <c r="C26" s="18" t="s">
        <v>218</v>
      </c>
      <c r="D26" s="18" t="s">
        <v>219</v>
      </c>
      <c r="E26" s="11" t="s">
        <v>626</v>
      </c>
      <c r="F26" s="11" t="s">
        <v>746</v>
      </c>
      <c r="G26" s="11">
        <v>5883</v>
      </c>
      <c r="H26" s="11">
        <f t="shared" si="0"/>
        <v>1500</v>
      </c>
      <c r="I26" s="11">
        <f t="shared" si="1"/>
        <v>8824500</v>
      </c>
      <c r="J26" s="11" t="s">
        <v>776</v>
      </c>
    </row>
    <row r="27" spans="1:10" x14ac:dyDescent="0.35">
      <c r="A27" s="11" t="s">
        <v>755</v>
      </c>
      <c r="B27" s="11" t="s">
        <v>748</v>
      </c>
      <c r="C27" s="18" t="s">
        <v>12</v>
      </c>
      <c r="D27" s="18" t="s">
        <v>344</v>
      </c>
      <c r="E27" s="11" t="s">
        <v>682</v>
      </c>
      <c r="F27" s="11" t="s">
        <v>756</v>
      </c>
      <c r="G27" s="11">
        <v>5122</v>
      </c>
      <c r="H27" s="11">
        <f t="shared" si="0"/>
        <v>1000</v>
      </c>
      <c r="I27" s="11">
        <f t="shared" si="1"/>
        <v>5122000</v>
      </c>
      <c r="J27" s="11" t="s">
        <v>775</v>
      </c>
    </row>
    <row r="28" spans="1:10" x14ac:dyDescent="0.35">
      <c r="A28" s="11" t="s">
        <v>755</v>
      </c>
      <c r="B28" s="11" t="s">
        <v>751</v>
      </c>
      <c r="C28" s="18" t="s">
        <v>12</v>
      </c>
      <c r="D28" s="18" t="s">
        <v>331</v>
      </c>
      <c r="E28" s="11" t="s">
        <v>721</v>
      </c>
      <c r="F28" s="11" t="s">
        <v>752</v>
      </c>
      <c r="G28" s="11">
        <v>7636</v>
      </c>
      <c r="H28" s="11">
        <f t="shared" si="0"/>
        <v>1000</v>
      </c>
      <c r="I28" s="11">
        <f t="shared" si="1"/>
        <v>7636000</v>
      </c>
      <c r="J28" s="11" t="s">
        <v>776</v>
      </c>
    </row>
    <row r="29" spans="1:10" x14ac:dyDescent="0.35">
      <c r="A29" s="11" t="s">
        <v>764</v>
      </c>
      <c r="B29" s="11" t="s">
        <v>745</v>
      </c>
      <c r="C29" s="18" t="s">
        <v>12</v>
      </c>
      <c r="D29" s="18" t="s">
        <v>22</v>
      </c>
      <c r="E29" s="11" t="s">
        <v>46</v>
      </c>
      <c r="F29" s="11" t="s">
        <v>746</v>
      </c>
      <c r="G29" s="11">
        <v>3461</v>
      </c>
      <c r="H29" s="11">
        <f t="shared" si="0"/>
        <v>650</v>
      </c>
      <c r="I29" s="11">
        <f t="shared" si="1"/>
        <v>2249650</v>
      </c>
      <c r="J29" s="11" t="s">
        <v>775</v>
      </c>
    </row>
    <row r="30" spans="1:10" ht="46.5" x14ac:dyDescent="0.35">
      <c r="A30" s="11" t="s">
        <v>744</v>
      </c>
      <c r="B30" s="11" t="s">
        <v>748</v>
      </c>
      <c r="C30" s="18" t="s">
        <v>12</v>
      </c>
      <c r="D30" s="18" t="s">
        <v>701</v>
      </c>
      <c r="E30" s="11" t="s">
        <v>702</v>
      </c>
      <c r="F30" s="11" t="s">
        <v>759</v>
      </c>
      <c r="G30" s="11">
        <v>8894</v>
      </c>
      <c r="H30" s="11">
        <f t="shared" si="0"/>
        <v>800</v>
      </c>
      <c r="I30" s="11">
        <f t="shared" si="1"/>
        <v>7115200</v>
      </c>
      <c r="J30" s="11" t="s">
        <v>776</v>
      </c>
    </row>
    <row r="31" spans="1:10" x14ac:dyDescent="0.35">
      <c r="A31" s="11" t="s">
        <v>760</v>
      </c>
      <c r="B31" s="11" t="s">
        <v>742</v>
      </c>
      <c r="C31" s="18" t="s">
        <v>27</v>
      </c>
      <c r="D31" s="18" t="s">
        <v>177</v>
      </c>
      <c r="E31" s="11" t="s">
        <v>178</v>
      </c>
      <c r="F31" s="11" t="s">
        <v>761</v>
      </c>
      <c r="G31" s="11">
        <v>1688</v>
      </c>
      <c r="H31" s="11">
        <f t="shared" si="0"/>
        <v>1600</v>
      </c>
      <c r="I31" s="11">
        <f t="shared" si="1"/>
        <v>2700800</v>
      </c>
      <c r="J31" s="11" t="s">
        <v>775</v>
      </c>
    </row>
    <row r="32" spans="1:10" x14ac:dyDescent="0.35">
      <c r="A32" s="11" t="s">
        <v>766</v>
      </c>
      <c r="B32" s="11" t="s">
        <v>748</v>
      </c>
      <c r="C32" s="18" t="s">
        <v>12</v>
      </c>
      <c r="D32" s="18" t="s">
        <v>228</v>
      </c>
      <c r="E32" s="11" t="s">
        <v>552</v>
      </c>
      <c r="F32" s="11" t="s">
        <v>756</v>
      </c>
      <c r="G32" s="11">
        <v>8535</v>
      </c>
      <c r="H32" s="11">
        <f t="shared" si="0"/>
        <v>1440</v>
      </c>
      <c r="I32" s="11">
        <f t="shared" si="1"/>
        <v>12290400</v>
      </c>
      <c r="J32" s="11" t="s">
        <v>775</v>
      </c>
    </row>
    <row r="33" spans="1:10" x14ac:dyDescent="0.35">
      <c r="A33" s="11" t="s">
        <v>762</v>
      </c>
      <c r="B33" s="11" t="s">
        <v>745</v>
      </c>
      <c r="C33" s="18" t="s">
        <v>623</v>
      </c>
      <c r="D33" s="18" t="s">
        <v>624</v>
      </c>
      <c r="E33" s="11" t="s">
        <v>625</v>
      </c>
      <c r="F33" s="11" t="s">
        <v>743</v>
      </c>
      <c r="G33" s="11">
        <v>1027</v>
      </c>
      <c r="H33" s="11">
        <f t="shared" si="0"/>
        <v>250</v>
      </c>
      <c r="I33" s="11">
        <f t="shared" si="1"/>
        <v>256750</v>
      </c>
      <c r="J33" s="11" t="s">
        <v>775</v>
      </c>
    </row>
    <row r="34" spans="1:10" x14ac:dyDescent="0.35">
      <c r="A34" s="11" t="s">
        <v>764</v>
      </c>
      <c r="B34" s="11" t="s">
        <v>742</v>
      </c>
      <c r="C34" s="18" t="s">
        <v>266</v>
      </c>
      <c r="D34" s="18" t="s">
        <v>699</v>
      </c>
      <c r="E34" s="11" t="s">
        <v>700</v>
      </c>
      <c r="F34" s="11" t="s">
        <v>757</v>
      </c>
      <c r="G34" s="11">
        <v>608</v>
      </c>
      <c r="H34" s="11">
        <f t="shared" si="0"/>
        <v>650</v>
      </c>
      <c r="I34" s="11">
        <f t="shared" si="1"/>
        <v>395200</v>
      </c>
      <c r="J34" s="11" t="s">
        <v>776</v>
      </c>
    </row>
    <row r="35" spans="1:10" x14ac:dyDescent="0.35">
      <c r="A35" s="11" t="s">
        <v>765</v>
      </c>
      <c r="B35" s="11" t="s">
        <v>742</v>
      </c>
      <c r="C35" s="18" t="s">
        <v>114</v>
      </c>
      <c r="D35" s="18" t="s">
        <v>126</v>
      </c>
      <c r="E35" s="11" t="s">
        <v>137</v>
      </c>
      <c r="F35" s="11" t="s">
        <v>761</v>
      </c>
      <c r="G35" s="11">
        <v>9536</v>
      </c>
      <c r="H35" s="11">
        <f t="shared" si="0"/>
        <v>2000</v>
      </c>
      <c r="I35" s="11">
        <f t="shared" si="1"/>
        <v>19072000</v>
      </c>
      <c r="J35" s="11" t="s">
        <v>776</v>
      </c>
    </row>
    <row r="36" spans="1:10" x14ac:dyDescent="0.35">
      <c r="A36" s="11" t="s">
        <v>747</v>
      </c>
      <c r="B36" s="11" t="s">
        <v>745</v>
      </c>
      <c r="C36" s="18" t="s">
        <v>27</v>
      </c>
      <c r="D36" s="18" t="s">
        <v>0</v>
      </c>
      <c r="E36" s="11" t="s">
        <v>668</v>
      </c>
      <c r="F36" s="11" t="s">
        <v>757</v>
      </c>
      <c r="G36" s="11">
        <v>3474</v>
      </c>
      <c r="H36" s="11">
        <f t="shared" si="0"/>
        <v>700</v>
      </c>
      <c r="I36" s="11">
        <f t="shared" si="1"/>
        <v>2431800</v>
      </c>
      <c r="J36" s="11" t="s">
        <v>775</v>
      </c>
    </row>
    <row r="37" spans="1:10" x14ac:dyDescent="0.35">
      <c r="A37" s="11" t="s">
        <v>755</v>
      </c>
      <c r="B37" s="11" t="s">
        <v>748</v>
      </c>
      <c r="C37" s="18" t="s">
        <v>12</v>
      </c>
      <c r="D37" s="18" t="s">
        <v>22</v>
      </c>
      <c r="E37" s="11" t="s">
        <v>248</v>
      </c>
      <c r="F37" s="11" t="s">
        <v>759</v>
      </c>
      <c r="G37" s="11">
        <v>1593</v>
      </c>
      <c r="H37" s="11">
        <f t="shared" si="0"/>
        <v>1000</v>
      </c>
      <c r="I37" s="11">
        <f t="shared" si="1"/>
        <v>1593000</v>
      </c>
      <c r="J37" s="11" t="s">
        <v>776</v>
      </c>
    </row>
    <row r="38" spans="1:10" ht="46.5" x14ac:dyDescent="0.35">
      <c r="A38" s="11" t="s">
        <v>765</v>
      </c>
      <c r="B38" s="11" t="s">
        <v>745</v>
      </c>
      <c r="C38" s="18" t="s">
        <v>119</v>
      </c>
      <c r="D38" s="18" t="s">
        <v>249</v>
      </c>
      <c r="E38" s="11" t="s">
        <v>308</v>
      </c>
      <c r="F38" s="11" t="s">
        <v>768</v>
      </c>
      <c r="G38" s="11">
        <v>1518</v>
      </c>
      <c r="H38" s="11">
        <f t="shared" si="0"/>
        <v>2000</v>
      </c>
      <c r="I38" s="11">
        <f t="shared" si="1"/>
        <v>3036000</v>
      </c>
      <c r="J38" s="11" t="s">
        <v>775</v>
      </c>
    </row>
    <row r="39" spans="1:10" x14ac:dyDescent="0.35">
      <c r="A39" s="11" t="s">
        <v>764</v>
      </c>
      <c r="B39" s="11" t="s">
        <v>742</v>
      </c>
      <c r="C39" s="18" t="s">
        <v>40</v>
      </c>
      <c r="D39" s="18" t="s">
        <v>41</v>
      </c>
      <c r="E39" s="11" t="s">
        <v>561</v>
      </c>
      <c r="F39" s="11" t="s">
        <v>754</v>
      </c>
      <c r="G39" s="11">
        <v>4340</v>
      </c>
      <c r="H39" s="11">
        <f t="shared" si="0"/>
        <v>650</v>
      </c>
      <c r="I39" s="11">
        <f t="shared" si="1"/>
        <v>2821000</v>
      </c>
      <c r="J39" s="11" t="s">
        <v>776</v>
      </c>
    </row>
    <row r="40" spans="1:10" x14ac:dyDescent="0.35">
      <c r="A40" s="11" t="s">
        <v>765</v>
      </c>
      <c r="B40" s="11" t="s">
        <v>745</v>
      </c>
      <c r="C40" s="18" t="s">
        <v>61</v>
      </c>
      <c r="D40" s="18" t="s">
        <v>251</v>
      </c>
      <c r="E40" s="11" t="s">
        <v>253</v>
      </c>
      <c r="F40" s="11" t="s">
        <v>757</v>
      </c>
      <c r="G40" s="11">
        <v>8155</v>
      </c>
      <c r="H40" s="11">
        <f t="shared" si="0"/>
        <v>2000</v>
      </c>
      <c r="I40" s="11">
        <f t="shared" si="1"/>
        <v>16310000</v>
      </c>
      <c r="J40" s="11" t="s">
        <v>775</v>
      </c>
    </row>
    <row r="41" spans="1:10" ht="46.5" x14ac:dyDescent="0.35">
      <c r="A41" s="11" t="s">
        <v>741</v>
      </c>
      <c r="B41" s="11" t="s">
        <v>742</v>
      </c>
      <c r="C41" s="18" t="s">
        <v>301</v>
      </c>
      <c r="D41" s="18" t="s">
        <v>302</v>
      </c>
      <c r="E41" s="11" t="s">
        <v>303</v>
      </c>
      <c r="F41" s="11" t="s">
        <v>749</v>
      </c>
      <c r="G41" s="11">
        <v>9224</v>
      </c>
      <c r="H41" s="11">
        <f t="shared" si="0"/>
        <v>550</v>
      </c>
      <c r="I41" s="11">
        <f t="shared" si="1"/>
        <v>5073200</v>
      </c>
      <c r="J41" s="11" t="s">
        <v>776</v>
      </c>
    </row>
    <row r="42" spans="1:10" x14ac:dyDescent="0.35">
      <c r="A42" s="11" t="s">
        <v>750</v>
      </c>
      <c r="B42" s="11" t="s">
        <v>742</v>
      </c>
      <c r="C42" s="18" t="s">
        <v>40</v>
      </c>
      <c r="D42" s="18" t="s">
        <v>97</v>
      </c>
      <c r="E42" s="11" t="s">
        <v>444</v>
      </c>
      <c r="F42" s="11" t="s">
        <v>756</v>
      </c>
      <c r="G42" s="11">
        <v>5619</v>
      </c>
      <c r="H42" s="11">
        <f t="shared" si="0"/>
        <v>1500</v>
      </c>
      <c r="I42" s="11">
        <f t="shared" si="1"/>
        <v>8428500</v>
      </c>
      <c r="J42" s="11" t="s">
        <v>776</v>
      </c>
    </row>
    <row r="43" spans="1:10" x14ac:dyDescent="0.35">
      <c r="A43" s="11" t="s">
        <v>750</v>
      </c>
      <c r="B43" s="11" t="s">
        <v>745</v>
      </c>
      <c r="C43" s="18" t="s">
        <v>12</v>
      </c>
      <c r="D43" s="18" t="s">
        <v>22</v>
      </c>
      <c r="E43" s="11" t="s">
        <v>665</v>
      </c>
      <c r="F43" s="11" t="s">
        <v>761</v>
      </c>
      <c r="G43" s="11">
        <v>6101</v>
      </c>
      <c r="H43" s="11">
        <f t="shared" si="0"/>
        <v>1500</v>
      </c>
      <c r="I43" s="11">
        <f t="shared" si="1"/>
        <v>9151500</v>
      </c>
      <c r="J43" s="11" t="s">
        <v>776</v>
      </c>
    </row>
    <row r="44" spans="1:10" x14ac:dyDescent="0.35">
      <c r="A44" s="11" t="s">
        <v>741</v>
      </c>
      <c r="B44" s="11" t="s">
        <v>742</v>
      </c>
      <c r="C44" s="18" t="s">
        <v>40</v>
      </c>
      <c r="D44" s="18" t="s">
        <v>241</v>
      </c>
      <c r="E44" s="11" t="s">
        <v>242</v>
      </c>
      <c r="F44" s="11" t="s">
        <v>756</v>
      </c>
      <c r="G44" s="11">
        <v>6504</v>
      </c>
      <c r="H44" s="11">
        <f t="shared" si="0"/>
        <v>550</v>
      </c>
      <c r="I44" s="11">
        <f t="shared" si="1"/>
        <v>3577200</v>
      </c>
      <c r="J44" s="11" t="s">
        <v>776</v>
      </c>
    </row>
    <row r="45" spans="1:10" x14ac:dyDescent="0.35">
      <c r="A45" s="11" t="s">
        <v>744</v>
      </c>
      <c r="B45" s="11" t="s">
        <v>745</v>
      </c>
      <c r="C45" s="18" t="s">
        <v>12</v>
      </c>
      <c r="D45" s="18" t="s">
        <v>148</v>
      </c>
      <c r="E45" s="11" t="s">
        <v>732</v>
      </c>
      <c r="F45" s="11" t="s">
        <v>746</v>
      </c>
      <c r="G45" s="11">
        <v>2956</v>
      </c>
      <c r="H45" s="11">
        <f t="shared" si="0"/>
        <v>800</v>
      </c>
      <c r="I45" s="11">
        <f t="shared" si="1"/>
        <v>2364800</v>
      </c>
      <c r="J45" s="11" t="s">
        <v>775</v>
      </c>
    </row>
    <row r="46" spans="1:10" x14ac:dyDescent="0.35">
      <c r="A46" s="11" t="s">
        <v>758</v>
      </c>
      <c r="B46" s="11" t="s">
        <v>742</v>
      </c>
      <c r="C46" s="18" t="s">
        <v>12</v>
      </c>
      <c r="D46" s="18" t="s">
        <v>160</v>
      </c>
      <c r="E46" s="11" t="s">
        <v>161</v>
      </c>
      <c r="F46" s="11" t="s">
        <v>757</v>
      </c>
      <c r="G46" s="11">
        <v>6118</v>
      </c>
      <c r="H46" s="11">
        <f t="shared" si="0"/>
        <v>150</v>
      </c>
      <c r="I46" s="11">
        <f t="shared" si="1"/>
        <v>917700</v>
      </c>
      <c r="J46" s="11" t="s">
        <v>776</v>
      </c>
    </row>
    <row r="47" spans="1:10" x14ac:dyDescent="0.35">
      <c r="A47" s="11" t="s">
        <v>741</v>
      </c>
      <c r="B47" s="11" t="s">
        <v>742</v>
      </c>
      <c r="C47" s="18" t="s">
        <v>61</v>
      </c>
      <c r="D47" s="18" t="s">
        <v>735</v>
      </c>
      <c r="E47" s="11" t="s">
        <v>736</v>
      </c>
      <c r="F47" s="11" t="s">
        <v>767</v>
      </c>
      <c r="G47" s="11">
        <v>6242</v>
      </c>
      <c r="H47" s="11">
        <f t="shared" si="0"/>
        <v>550</v>
      </c>
      <c r="I47" s="11">
        <f t="shared" si="1"/>
        <v>3433100</v>
      </c>
      <c r="J47" s="11" t="s">
        <v>776</v>
      </c>
    </row>
    <row r="48" spans="1:10" x14ac:dyDescent="0.35">
      <c r="A48" s="11" t="s">
        <v>760</v>
      </c>
      <c r="B48" s="11" t="s">
        <v>742</v>
      </c>
      <c r="C48" s="18" t="s">
        <v>68</v>
      </c>
      <c r="D48" s="18" t="s">
        <v>69</v>
      </c>
      <c r="E48" s="11" t="s">
        <v>70</v>
      </c>
      <c r="F48" s="11" t="s">
        <v>749</v>
      </c>
      <c r="G48" s="11">
        <v>1753</v>
      </c>
      <c r="H48" s="11">
        <f t="shared" si="0"/>
        <v>1600</v>
      </c>
      <c r="I48" s="11">
        <f t="shared" si="1"/>
        <v>2804800</v>
      </c>
      <c r="J48" s="11" t="s">
        <v>775</v>
      </c>
    </row>
    <row r="49" spans="1:10" x14ac:dyDescent="0.35">
      <c r="A49" s="11" t="s">
        <v>755</v>
      </c>
      <c r="B49" s="11" t="s">
        <v>745</v>
      </c>
      <c r="C49" s="18" t="s">
        <v>40</v>
      </c>
      <c r="D49" s="18" t="s">
        <v>59</v>
      </c>
      <c r="E49" s="11" t="s">
        <v>704</v>
      </c>
      <c r="F49" s="11" t="s">
        <v>761</v>
      </c>
      <c r="G49" s="11">
        <v>6720</v>
      </c>
      <c r="H49" s="11">
        <f t="shared" si="0"/>
        <v>1000</v>
      </c>
      <c r="I49" s="11">
        <f t="shared" si="1"/>
        <v>6720000</v>
      </c>
      <c r="J49" s="11" t="s">
        <v>776</v>
      </c>
    </row>
    <row r="50" spans="1:10" x14ac:dyDescent="0.35">
      <c r="A50" s="11" t="s">
        <v>758</v>
      </c>
      <c r="B50" s="11" t="s">
        <v>742</v>
      </c>
      <c r="C50" s="18" t="s">
        <v>12</v>
      </c>
      <c r="D50" s="18" t="s">
        <v>148</v>
      </c>
      <c r="E50" s="11" t="s">
        <v>149</v>
      </c>
      <c r="F50" s="11" t="s">
        <v>759</v>
      </c>
      <c r="G50" s="11">
        <v>4049</v>
      </c>
      <c r="H50" s="11">
        <f t="shared" si="0"/>
        <v>150</v>
      </c>
      <c r="I50" s="11">
        <f t="shared" si="1"/>
        <v>607350</v>
      </c>
      <c r="J50" s="11" t="s">
        <v>775</v>
      </c>
    </row>
    <row r="51" spans="1:10" x14ac:dyDescent="0.35">
      <c r="A51" s="11" t="s">
        <v>750</v>
      </c>
      <c r="B51" s="11" t="s">
        <v>748</v>
      </c>
      <c r="C51" s="18" t="s">
        <v>12</v>
      </c>
      <c r="D51" s="18" t="s">
        <v>22</v>
      </c>
      <c r="E51" s="11" t="s">
        <v>335</v>
      </c>
      <c r="F51" s="11" t="s">
        <v>752</v>
      </c>
      <c r="G51" s="11">
        <v>2419</v>
      </c>
      <c r="H51" s="11">
        <f t="shared" si="0"/>
        <v>1500</v>
      </c>
      <c r="I51" s="11">
        <f t="shared" si="1"/>
        <v>3628500</v>
      </c>
      <c r="J51" s="11" t="s">
        <v>775</v>
      </c>
    </row>
    <row r="52" spans="1:10" x14ac:dyDescent="0.35">
      <c r="A52" s="11" t="s">
        <v>744</v>
      </c>
      <c r="B52" s="11" t="s">
        <v>745</v>
      </c>
      <c r="C52" s="18" t="s">
        <v>12</v>
      </c>
      <c r="D52" s="18" t="s">
        <v>202</v>
      </c>
      <c r="E52" s="11" t="s">
        <v>203</v>
      </c>
      <c r="F52" s="11" t="s">
        <v>756</v>
      </c>
      <c r="G52" s="11">
        <v>8507</v>
      </c>
      <c r="H52" s="11">
        <f t="shared" si="0"/>
        <v>800</v>
      </c>
      <c r="I52" s="11">
        <f t="shared" si="1"/>
        <v>6805600</v>
      </c>
      <c r="J52" s="11" t="s">
        <v>776</v>
      </c>
    </row>
    <row r="53" spans="1:10" x14ac:dyDescent="0.35">
      <c r="A53" s="11" t="s">
        <v>747</v>
      </c>
      <c r="B53" s="11" t="s">
        <v>745</v>
      </c>
      <c r="C53" s="18" t="s">
        <v>40</v>
      </c>
      <c r="D53" s="18" t="s">
        <v>75</v>
      </c>
      <c r="E53" s="11" t="s">
        <v>150</v>
      </c>
      <c r="F53" s="11" t="s">
        <v>752</v>
      </c>
      <c r="G53" s="11">
        <v>2495</v>
      </c>
      <c r="H53" s="11">
        <f t="shared" si="0"/>
        <v>700</v>
      </c>
      <c r="I53" s="11">
        <f t="shared" si="1"/>
        <v>1746500</v>
      </c>
      <c r="J53" s="11" t="s">
        <v>776</v>
      </c>
    </row>
    <row r="54" spans="1:10" x14ac:dyDescent="0.35">
      <c r="A54" s="11" t="s">
        <v>760</v>
      </c>
      <c r="B54" s="11" t="s">
        <v>751</v>
      </c>
      <c r="C54" s="18" t="s">
        <v>12</v>
      </c>
      <c r="D54" s="18" t="s">
        <v>13</v>
      </c>
      <c r="E54" s="11" t="s">
        <v>460</v>
      </c>
      <c r="F54" s="11" t="s">
        <v>746</v>
      </c>
      <c r="G54" s="11">
        <v>6739</v>
      </c>
      <c r="H54" s="11">
        <f t="shared" si="0"/>
        <v>1600</v>
      </c>
      <c r="I54" s="11">
        <f t="shared" si="1"/>
        <v>10782400</v>
      </c>
      <c r="J54" s="11" t="s">
        <v>776</v>
      </c>
    </row>
    <row r="55" spans="1:10" x14ac:dyDescent="0.35">
      <c r="A55" s="11" t="s">
        <v>741</v>
      </c>
      <c r="B55" s="11" t="s">
        <v>745</v>
      </c>
      <c r="C55" s="18" t="s">
        <v>12</v>
      </c>
      <c r="D55" s="18" t="s">
        <v>228</v>
      </c>
      <c r="E55" s="11" t="s">
        <v>286</v>
      </c>
      <c r="F55" s="11" t="s">
        <v>743</v>
      </c>
      <c r="G55" s="11">
        <v>7699</v>
      </c>
      <c r="H55" s="11">
        <f t="shared" si="0"/>
        <v>550</v>
      </c>
      <c r="I55" s="11">
        <f t="shared" si="1"/>
        <v>4234450</v>
      </c>
      <c r="J55" s="11" t="s">
        <v>776</v>
      </c>
    </row>
    <row r="56" spans="1:10" ht="46.5" x14ac:dyDescent="0.35">
      <c r="A56" s="11" t="s">
        <v>765</v>
      </c>
      <c r="B56" s="11" t="s">
        <v>745</v>
      </c>
      <c r="C56" s="18" t="s">
        <v>89</v>
      </c>
      <c r="D56" s="18" t="s">
        <v>367</v>
      </c>
      <c r="E56" s="11" t="s">
        <v>368</v>
      </c>
      <c r="F56" s="11" t="s">
        <v>767</v>
      </c>
      <c r="G56" s="11">
        <v>9925</v>
      </c>
      <c r="H56" s="11">
        <f t="shared" si="0"/>
        <v>2000</v>
      </c>
      <c r="I56" s="11">
        <f t="shared" si="1"/>
        <v>19850000</v>
      </c>
      <c r="J56" s="11" t="s">
        <v>775</v>
      </c>
    </row>
    <row r="57" spans="1:10" x14ac:dyDescent="0.35">
      <c r="A57" s="11" t="s">
        <v>744</v>
      </c>
      <c r="B57" s="11" t="s">
        <v>751</v>
      </c>
      <c r="C57" s="18" t="s">
        <v>218</v>
      </c>
      <c r="D57" s="18" t="s">
        <v>219</v>
      </c>
      <c r="E57" s="11" t="s">
        <v>220</v>
      </c>
      <c r="F57" s="11" t="s">
        <v>749</v>
      </c>
      <c r="G57" s="11">
        <v>8736</v>
      </c>
      <c r="H57" s="11">
        <f t="shared" si="0"/>
        <v>800</v>
      </c>
      <c r="I57" s="11">
        <f t="shared" si="1"/>
        <v>6988800</v>
      </c>
      <c r="J57" s="11" t="s">
        <v>775</v>
      </c>
    </row>
    <row r="58" spans="1:10" x14ac:dyDescent="0.35">
      <c r="A58" s="11" t="s">
        <v>744</v>
      </c>
      <c r="B58" s="11" t="s">
        <v>742</v>
      </c>
      <c r="C58" s="18" t="s">
        <v>9</v>
      </c>
      <c r="D58" s="18" t="s">
        <v>10</v>
      </c>
      <c r="E58" s="11" t="s">
        <v>32</v>
      </c>
      <c r="F58" s="11" t="s">
        <v>759</v>
      </c>
      <c r="G58" s="11">
        <v>5042</v>
      </c>
      <c r="H58" s="11">
        <f t="shared" si="0"/>
        <v>800</v>
      </c>
      <c r="I58" s="11">
        <f t="shared" si="1"/>
        <v>4033600</v>
      </c>
      <c r="J58" s="11" t="s">
        <v>775</v>
      </c>
    </row>
    <row r="59" spans="1:10" x14ac:dyDescent="0.35">
      <c r="A59" s="11" t="s">
        <v>750</v>
      </c>
      <c r="B59" s="11" t="s">
        <v>745</v>
      </c>
      <c r="C59" s="18" t="s">
        <v>12</v>
      </c>
      <c r="D59" s="18" t="s">
        <v>195</v>
      </c>
      <c r="E59" s="11" t="s">
        <v>196</v>
      </c>
      <c r="F59" s="11" t="s">
        <v>767</v>
      </c>
      <c r="G59" s="11">
        <v>4245</v>
      </c>
      <c r="H59" s="11">
        <f t="shared" si="0"/>
        <v>1500</v>
      </c>
      <c r="I59" s="11">
        <f t="shared" si="1"/>
        <v>6367500</v>
      </c>
      <c r="J59" s="11" t="s">
        <v>775</v>
      </c>
    </row>
    <row r="60" spans="1:10" x14ac:dyDescent="0.35">
      <c r="A60" s="11" t="s">
        <v>766</v>
      </c>
      <c r="B60" s="11" t="s">
        <v>742</v>
      </c>
      <c r="C60" s="18" t="s">
        <v>40</v>
      </c>
      <c r="D60" s="18" t="s">
        <v>75</v>
      </c>
      <c r="E60" s="11" t="s">
        <v>272</v>
      </c>
      <c r="F60" s="11" t="s">
        <v>763</v>
      </c>
      <c r="G60" s="11">
        <v>7489</v>
      </c>
      <c r="H60" s="11">
        <f t="shared" si="0"/>
        <v>1440</v>
      </c>
      <c r="I60" s="11">
        <f t="shared" si="1"/>
        <v>10784160</v>
      </c>
      <c r="J60" s="11" t="s">
        <v>775</v>
      </c>
    </row>
    <row r="61" spans="1:10" x14ac:dyDescent="0.35">
      <c r="A61" s="11" t="s">
        <v>765</v>
      </c>
      <c r="B61" s="11" t="s">
        <v>748</v>
      </c>
      <c r="C61" s="18" t="s">
        <v>12</v>
      </c>
      <c r="D61" s="18" t="s">
        <v>22</v>
      </c>
      <c r="E61" s="11" t="s">
        <v>396</v>
      </c>
      <c r="F61" s="11" t="s">
        <v>756</v>
      </c>
      <c r="G61" s="11">
        <v>675</v>
      </c>
      <c r="H61" s="11">
        <f t="shared" si="0"/>
        <v>2000</v>
      </c>
      <c r="I61" s="11">
        <f t="shared" si="1"/>
        <v>1350000</v>
      </c>
      <c r="J61" s="11" t="s">
        <v>776</v>
      </c>
    </row>
    <row r="62" spans="1:10" x14ac:dyDescent="0.35">
      <c r="A62" s="11" t="s">
        <v>741</v>
      </c>
      <c r="B62" s="11" t="s">
        <v>742</v>
      </c>
      <c r="C62" s="18" t="s">
        <v>12</v>
      </c>
      <c r="D62" s="18" t="s">
        <v>47</v>
      </c>
      <c r="E62" s="11" t="s">
        <v>49</v>
      </c>
      <c r="F62" s="11" t="s">
        <v>749</v>
      </c>
      <c r="G62" s="11">
        <v>5824</v>
      </c>
      <c r="H62" s="11">
        <f t="shared" si="0"/>
        <v>550</v>
      </c>
      <c r="I62" s="11">
        <f t="shared" si="1"/>
        <v>3203200</v>
      </c>
      <c r="J62" s="11" t="s">
        <v>775</v>
      </c>
    </row>
    <row r="63" spans="1:10" x14ac:dyDescent="0.35">
      <c r="A63" s="11" t="s">
        <v>750</v>
      </c>
      <c r="B63" s="11" t="s">
        <v>745</v>
      </c>
      <c r="C63" s="18" t="s">
        <v>9</v>
      </c>
      <c r="D63" s="18" t="s">
        <v>143</v>
      </c>
      <c r="E63" s="11" t="s">
        <v>144</v>
      </c>
      <c r="F63" s="11" t="s">
        <v>754</v>
      </c>
      <c r="G63" s="11">
        <v>3148</v>
      </c>
      <c r="H63" s="11">
        <f t="shared" si="0"/>
        <v>1500</v>
      </c>
      <c r="I63" s="11">
        <f t="shared" si="1"/>
        <v>4722000</v>
      </c>
      <c r="J63" s="11" t="s">
        <v>775</v>
      </c>
    </row>
    <row r="64" spans="1:10" ht="46.5" x14ac:dyDescent="0.35">
      <c r="A64" s="11" t="s">
        <v>741</v>
      </c>
      <c r="B64" s="11" t="s">
        <v>748</v>
      </c>
      <c r="C64" s="18" t="s">
        <v>119</v>
      </c>
      <c r="D64" s="18" t="s">
        <v>249</v>
      </c>
      <c r="E64" s="11" t="s">
        <v>285</v>
      </c>
      <c r="F64" s="11" t="s">
        <v>761</v>
      </c>
      <c r="G64" s="11">
        <v>4640</v>
      </c>
      <c r="H64" s="11">
        <f t="shared" si="0"/>
        <v>550</v>
      </c>
      <c r="I64" s="11">
        <f t="shared" si="1"/>
        <v>2552000</v>
      </c>
      <c r="J64" s="11" t="s">
        <v>776</v>
      </c>
    </row>
    <row r="65" spans="1:10" x14ac:dyDescent="0.35">
      <c r="A65" s="11" t="s">
        <v>758</v>
      </c>
      <c r="B65" s="11" t="s">
        <v>745</v>
      </c>
      <c r="C65" s="18" t="s">
        <v>27</v>
      </c>
      <c r="D65" s="18" t="s">
        <v>28</v>
      </c>
      <c r="E65" s="11" t="s">
        <v>636</v>
      </c>
      <c r="F65" s="11" t="s">
        <v>752</v>
      </c>
      <c r="G65" s="11">
        <v>5930</v>
      </c>
      <c r="H65" s="11">
        <f t="shared" si="0"/>
        <v>150</v>
      </c>
      <c r="I65" s="11">
        <f t="shared" si="1"/>
        <v>889500</v>
      </c>
      <c r="J65" s="11" t="s">
        <v>776</v>
      </c>
    </row>
    <row r="66" spans="1:10" ht="46.5" x14ac:dyDescent="0.35">
      <c r="A66" s="11" t="s">
        <v>764</v>
      </c>
      <c r="B66" s="11" t="s">
        <v>745</v>
      </c>
      <c r="C66" s="18" t="s">
        <v>12</v>
      </c>
      <c r="D66" s="18" t="s">
        <v>167</v>
      </c>
      <c r="E66" s="11" t="s">
        <v>168</v>
      </c>
      <c r="F66" s="11" t="s">
        <v>757</v>
      </c>
      <c r="G66" s="11">
        <v>9208</v>
      </c>
      <c r="H66" s="11">
        <f t="shared" si="0"/>
        <v>650</v>
      </c>
      <c r="I66" s="11">
        <f t="shared" si="1"/>
        <v>5985200</v>
      </c>
      <c r="J66" s="11" t="s">
        <v>776</v>
      </c>
    </row>
    <row r="67" spans="1:10" x14ac:dyDescent="0.35">
      <c r="A67" s="11" t="s">
        <v>753</v>
      </c>
      <c r="B67" s="11" t="s">
        <v>748</v>
      </c>
      <c r="C67" s="18" t="s">
        <v>601</v>
      </c>
      <c r="D67" s="18" t="s">
        <v>602</v>
      </c>
      <c r="E67" s="11" t="s">
        <v>603</v>
      </c>
      <c r="F67" s="11" t="s">
        <v>768</v>
      </c>
      <c r="G67" s="11">
        <v>9979</v>
      </c>
      <c r="H67" s="11">
        <f t="shared" si="0"/>
        <v>450</v>
      </c>
      <c r="I67" s="11">
        <f t="shared" si="1"/>
        <v>4490550</v>
      </c>
      <c r="J67" s="11" t="s">
        <v>775</v>
      </c>
    </row>
    <row r="68" spans="1:10" x14ac:dyDescent="0.35">
      <c r="A68" s="11" t="s">
        <v>747</v>
      </c>
      <c r="B68" s="11" t="s">
        <v>745</v>
      </c>
      <c r="C68" s="18" t="s">
        <v>206</v>
      </c>
      <c r="D68" s="18" t="s">
        <v>207</v>
      </c>
      <c r="E68" s="11" t="s">
        <v>644</v>
      </c>
      <c r="F68" s="11" t="s">
        <v>756</v>
      </c>
      <c r="G68" s="11">
        <v>1179</v>
      </c>
      <c r="H68" s="11">
        <f t="shared" si="0"/>
        <v>700</v>
      </c>
      <c r="I68" s="11">
        <f t="shared" si="1"/>
        <v>825300</v>
      </c>
      <c r="J68" s="11" t="s">
        <v>776</v>
      </c>
    </row>
    <row r="69" spans="1:10" x14ac:dyDescent="0.35">
      <c r="A69" s="11" t="s">
        <v>744</v>
      </c>
      <c r="B69" s="11" t="s">
        <v>742</v>
      </c>
      <c r="C69" s="18" t="s">
        <v>61</v>
      </c>
      <c r="D69" s="18" t="s">
        <v>388</v>
      </c>
      <c r="E69" s="11" t="s">
        <v>389</v>
      </c>
      <c r="F69" s="11" t="s">
        <v>754</v>
      </c>
      <c r="G69" s="11">
        <v>6207</v>
      </c>
      <c r="H69" s="11">
        <f t="shared" ref="H69:H132" si="2">IF(A69="Paracetamol",550,IF(A69="Fluconazole",800,IF(A69="Metformin",700,IF(A69="Diclofenac",1500,IF(A69="Dolo",450,IF(A69="Sumo",1000,IF(A69="Calpol",1600,IF(A69="Lbuprofen",250,IF(A69="Azithroycin",650,IF(A69="Amoxicillin",2000,IF(A69="Omeprazole",1440,IF(A69="Centirizin",150))))))))))))</f>
        <v>800</v>
      </c>
      <c r="I69" s="11">
        <f t="shared" ref="I69:I132" si="3">G69*H69</f>
        <v>4965600</v>
      </c>
      <c r="J69" s="11" t="s">
        <v>776</v>
      </c>
    </row>
    <row r="70" spans="1:10" x14ac:dyDescent="0.35">
      <c r="A70" s="11" t="s">
        <v>760</v>
      </c>
      <c r="B70" s="11" t="s">
        <v>748</v>
      </c>
      <c r="C70" s="18" t="s">
        <v>27</v>
      </c>
      <c r="D70" s="18" t="s">
        <v>28</v>
      </c>
      <c r="E70" s="11" t="s">
        <v>217</v>
      </c>
      <c r="F70" s="11" t="s">
        <v>752</v>
      </c>
      <c r="G70" s="11">
        <v>8221</v>
      </c>
      <c r="H70" s="11">
        <f t="shared" si="2"/>
        <v>1600</v>
      </c>
      <c r="I70" s="11">
        <f t="shared" si="3"/>
        <v>13153600</v>
      </c>
      <c r="J70" s="11" t="s">
        <v>775</v>
      </c>
    </row>
    <row r="71" spans="1:10" x14ac:dyDescent="0.35">
      <c r="A71" s="11" t="s">
        <v>762</v>
      </c>
      <c r="B71" s="11" t="s">
        <v>742</v>
      </c>
      <c r="C71" s="18" t="s">
        <v>40</v>
      </c>
      <c r="D71" s="18" t="s">
        <v>41</v>
      </c>
      <c r="E71" s="11" t="s">
        <v>131</v>
      </c>
      <c r="F71" s="11" t="s">
        <v>746</v>
      </c>
      <c r="G71" s="11">
        <v>3413</v>
      </c>
      <c r="H71" s="11">
        <f t="shared" si="2"/>
        <v>250</v>
      </c>
      <c r="I71" s="11">
        <f t="shared" si="3"/>
        <v>853250</v>
      </c>
      <c r="J71" s="11" t="s">
        <v>775</v>
      </c>
    </row>
    <row r="72" spans="1:10" ht="46.5" x14ac:dyDescent="0.35">
      <c r="A72" s="11" t="s">
        <v>744</v>
      </c>
      <c r="B72" s="11" t="s">
        <v>742</v>
      </c>
      <c r="C72" s="18" t="s">
        <v>89</v>
      </c>
      <c r="D72" s="18" t="s">
        <v>90</v>
      </c>
      <c r="E72" s="11" t="s">
        <v>91</v>
      </c>
      <c r="F72" s="11" t="s">
        <v>759</v>
      </c>
      <c r="G72" s="11">
        <v>995</v>
      </c>
      <c r="H72" s="11">
        <f t="shared" si="2"/>
        <v>800</v>
      </c>
      <c r="I72" s="11">
        <f t="shared" si="3"/>
        <v>796000</v>
      </c>
      <c r="J72" s="11" t="s">
        <v>776</v>
      </c>
    </row>
    <row r="73" spans="1:10" x14ac:dyDescent="0.35">
      <c r="A73" s="11" t="s">
        <v>741</v>
      </c>
      <c r="B73" s="11" t="s">
        <v>745</v>
      </c>
      <c r="C73" s="18" t="s">
        <v>12</v>
      </c>
      <c r="D73" s="18" t="s">
        <v>22</v>
      </c>
      <c r="E73" s="11" t="s">
        <v>662</v>
      </c>
      <c r="F73" s="11" t="s">
        <v>761</v>
      </c>
      <c r="G73" s="11">
        <v>9824</v>
      </c>
      <c r="H73" s="11">
        <f t="shared" si="2"/>
        <v>550</v>
      </c>
      <c r="I73" s="11">
        <f t="shared" si="3"/>
        <v>5403200</v>
      </c>
      <c r="J73" s="11" t="s">
        <v>775</v>
      </c>
    </row>
    <row r="74" spans="1:10" x14ac:dyDescent="0.35">
      <c r="A74" s="11" t="s">
        <v>762</v>
      </c>
      <c r="B74" s="11" t="s">
        <v>751</v>
      </c>
      <c r="C74" s="18" t="s">
        <v>12</v>
      </c>
      <c r="D74" s="18" t="s">
        <v>513</v>
      </c>
      <c r="E74" s="11" t="s">
        <v>514</v>
      </c>
      <c r="F74" s="11" t="s">
        <v>749</v>
      </c>
      <c r="G74" s="11">
        <v>9323</v>
      </c>
      <c r="H74" s="11">
        <f t="shared" si="2"/>
        <v>250</v>
      </c>
      <c r="I74" s="11">
        <f t="shared" si="3"/>
        <v>2330750</v>
      </c>
      <c r="J74" s="11" t="s">
        <v>775</v>
      </c>
    </row>
    <row r="75" spans="1:10" x14ac:dyDescent="0.35">
      <c r="A75" s="11" t="s">
        <v>766</v>
      </c>
      <c r="B75" s="11" t="s">
        <v>745</v>
      </c>
      <c r="C75" s="18" t="s">
        <v>12</v>
      </c>
      <c r="D75" s="18" t="s">
        <v>408</v>
      </c>
      <c r="E75" s="11" t="s">
        <v>409</v>
      </c>
      <c r="F75" s="11" t="s">
        <v>767</v>
      </c>
      <c r="G75" s="11">
        <v>7486</v>
      </c>
      <c r="H75" s="11">
        <f t="shared" si="2"/>
        <v>1440</v>
      </c>
      <c r="I75" s="11">
        <f t="shared" si="3"/>
        <v>10779840</v>
      </c>
      <c r="J75" s="11" t="s">
        <v>776</v>
      </c>
    </row>
    <row r="76" spans="1:10" x14ac:dyDescent="0.35">
      <c r="A76" s="11" t="s">
        <v>750</v>
      </c>
      <c r="B76" s="11" t="s">
        <v>751</v>
      </c>
      <c r="C76" s="18" t="s">
        <v>12</v>
      </c>
      <c r="D76" s="18" t="s">
        <v>230</v>
      </c>
      <c r="E76" s="11" t="s">
        <v>231</v>
      </c>
      <c r="F76" s="11" t="s">
        <v>767</v>
      </c>
      <c r="G76" s="11">
        <v>4045</v>
      </c>
      <c r="H76" s="11">
        <f t="shared" si="2"/>
        <v>1500</v>
      </c>
      <c r="I76" s="11">
        <f t="shared" si="3"/>
        <v>6067500</v>
      </c>
      <c r="J76" s="11" t="s">
        <v>776</v>
      </c>
    </row>
    <row r="77" spans="1:10" x14ac:dyDescent="0.35">
      <c r="A77" s="11" t="s">
        <v>741</v>
      </c>
      <c r="B77" s="11" t="s">
        <v>742</v>
      </c>
      <c r="C77" s="18" t="s">
        <v>65</v>
      </c>
      <c r="D77" s="18" t="s">
        <v>660</v>
      </c>
      <c r="E77" s="11" t="s">
        <v>661</v>
      </c>
      <c r="F77" s="11" t="s">
        <v>752</v>
      </c>
      <c r="G77" s="11">
        <v>8292</v>
      </c>
      <c r="H77" s="11">
        <f t="shared" si="2"/>
        <v>550</v>
      </c>
      <c r="I77" s="11">
        <f t="shared" si="3"/>
        <v>4560600</v>
      </c>
      <c r="J77" s="11" t="s">
        <v>775</v>
      </c>
    </row>
    <row r="78" spans="1:10" x14ac:dyDescent="0.35">
      <c r="A78" s="11" t="s">
        <v>750</v>
      </c>
      <c r="B78" s="11" t="s">
        <v>748</v>
      </c>
      <c r="C78" s="18" t="s">
        <v>12</v>
      </c>
      <c r="D78" s="18" t="s">
        <v>669</v>
      </c>
      <c r="E78" s="11" t="s">
        <v>670</v>
      </c>
      <c r="F78" s="11" t="s">
        <v>756</v>
      </c>
      <c r="G78" s="11">
        <v>5831</v>
      </c>
      <c r="H78" s="11">
        <f t="shared" si="2"/>
        <v>1500</v>
      </c>
      <c r="I78" s="11">
        <f t="shared" si="3"/>
        <v>8746500</v>
      </c>
      <c r="J78" s="11" t="s">
        <v>776</v>
      </c>
    </row>
    <row r="79" spans="1:10" ht="46.5" x14ac:dyDescent="0.35">
      <c r="A79" s="11" t="s">
        <v>766</v>
      </c>
      <c r="B79" s="11" t="s">
        <v>751</v>
      </c>
      <c r="C79" s="18" t="s">
        <v>12</v>
      </c>
      <c r="D79" s="18" t="s">
        <v>733</v>
      </c>
      <c r="E79" s="11" t="s">
        <v>734</v>
      </c>
      <c r="F79" s="11" t="s">
        <v>746</v>
      </c>
      <c r="G79" s="11">
        <v>1443</v>
      </c>
      <c r="H79" s="11">
        <f t="shared" si="2"/>
        <v>1440</v>
      </c>
      <c r="I79" s="11">
        <f t="shared" si="3"/>
        <v>2077920</v>
      </c>
      <c r="J79" s="11" t="s">
        <v>775</v>
      </c>
    </row>
    <row r="80" spans="1:10" x14ac:dyDescent="0.35">
      <c r="A80" s="11" t="s">
        <v>750</v>
      </c>
      <c r="B80" s="11" t="s">
        <v>745</v>
      </c>
      <c r="C80" s="18" t="s">
        <v>12</v>
      </c>
      <c r="D80" s="18" t="s">
        <v>228</v>
      </c>
      <c r="E80" s="11" t="s">
        <v>229</v>
      </c>
      <c r="F80" s="11" t="s">
        <v>763</v>
      </c>
      <c r="G80" s="11">
        <v>948</v>
      </c>
      <c r="H80" s="11">
        <f t="shared" si="2"/>
        <v>1500</v>
      </c>
      <c r="I80" s="11">
        <f t="shared" si="3"/>
        <v>1422000</v>
      </c>
      <c r="J80" s="11" t="s">
        <v>775</v>
      </c>
    </row>
    <row r="81" spans="1:10" x14ac:dyDescent="0.35">
      <c r="A81" s="11" t="s">
        <v>755</v>
      </c>
      <c r="B81" s="11" t="s">
        <v>745</v>
      </c>
      <c r="C81" s="18" t="s">
        <v>12</v>
      </c>
      <c r="D81" s="18" t="s">
        <v>22</v>
      </c>
      <c r="E81" s="11" t="s">
        <v>23</v>
      </c>
      <c r="F81" s="11" t="s">
        <v>743</v>
      </c>
      <c r="G81" s="11">
        <v>4459</v>
      </c>
      <c r="H81" s="11">
        <f t="shared" si="2"/>
        <v>1000</v>
      </c>
      <c r="I81" s="11">
        <f t="shared" si="3"/>
        <v>4459000</v>
      </c>
      <c r="J81" s="11" t="s">
        <v>775</v>
      </c>
    </row>
    <row r="82" spans="1:10" x14ac:dyDescent="0.35">
      <c r="A82" s="11" t="s">
        <v>744</v>
      </c>
      <c r="B82" s="11" t="s">
        <v>751</v>
      </c>
      <c r="C82" s="18" t="s">
        <v>12</v>
      </c>
      <c r="D82" s="18" t="s">
        <v>400</v>
      </c>
      <c r="E82" s="11" t="s">
        <v>731</v>
      </c>
      <c r="F82" s="11" t="s">
        <v>767</v>
      </c>
      <c r="G82" s="11">
        <v>1784</v>
      </c>
      <c r="H82" s="11">
        <f t="shared" si="2"/>
        <v>800</v>
      </c>
      <c r="I82" s="11">
        <f t="shared" si="3"/>
        <v>1427200</v>
      </c>
      <c r="J82" s="11" t="s">
        <v>775</v>
      </c>
    </row>
    <row r="83" spans="1:10" x14ac:dyDescent="0.35">
      <c r="A83" s="11" t="s">
        <v>760</v>
      </c>
      <c r="B83" s="11" t="s">
        <v>748</v>
      </c>
      <c r="C83" s="18" t="s">
        <v>12</v>
      </c>
      <c r="D83" s="18" t="s">
        <v>400</v>
      </c>
      <c r="E83" s="11" t="s">
        <v>465</v>
      </c>
      <c r="F83" s="11" t="s">
        <v>757</v>
      </c>
      <c r="G83" s="11">
        <v>8157</v>
      </c>
      <c r="H83" s="11">
        <f t="shared" si="2"/>
        <v>1600</v>
      </c>
      <c r="I83" s="11">
        <f t="shared" si="3"/>
        <v>13051200</v>
      </c>
      <c r="J83" s="11" t="s">
        <v>775</v>
      </c>
    </row>
    <row r="84" spans="1:10" x14ac:dyDescent="0.35">
      <c r="A84" s="11" t="s">
        <v>762</v>
      </c>
      <c r="B84" s="11" t="s">
        <v>751</v>
      </c>
      <c r="C84" s="18" t="s">
        <v>9</v>
      </c>
      <c r="D84" s="18" t="s">
        <v>311</v>
      </c>
      <c r="E84" s="11" t="s">
        <v>313</v>
      </c>
      <c r="F84" s="11" t="s">
        <v>759</v>
      </c>
      <c r="G84" s="11">
        <v>2361</v>
      </c>
      <c r="H84" s="11">
        <f t="shared" si="2"/>
        <v>250</v>
      </c>
      <c r="I84" s="11">
        <f t="shared" si="3"/>
        <v>590250</v>
      </c>
      <c r="J84" s="11" t="s">
        <v>776</v>
      </c>
    </row>
    <row r="85" spans="1:10" x14ac:dyDescent="0.35">
      <c r="A85" s="11" t="s">
        <v>753</v>
      </c>
      <c r="B85" s="11" t="s">
        <v>751</v>
      </c>
      <c r="C85" s="18" t="s">
        <v>12</v>
      </c>
      <c r="D85" s="18" t="s">
        <v>15</v>
      </c>
      <c r="E85" s="11" t="s">
        <v>21</v>
      </c>
      <c r="F85" s="11" t="s">
        <v>754</v>
      </c>
      <c r="G85" s="11">
        <v>9933</v>
      </c>
      <c r="H85" s="11">
        <f t="shared" si="2"/>
        <v>450</v>
      </c>
      <c r="I85" s="11">
        <f t="shared" si="3"/>
        <v>4469850</v>
      </c>
      <c r="J85" s="11" t="s">
        <v>775</v>
      </c>
    </row>
    <row r="86" spans="1:10" x14ac:dyDescent="0.35">
      <c r="A86" s="11" t="s">
        <v>744</v>
      </c>
      <c r="B86" s="11" t="s">
        <v>751</v>
      </c>
      <c r="C86" s="18" t="s">
        <v>215</v>
      </c>
      <c r="D86" s="18" t="s">
        <v>215</v>
      </c>
      <c r="E86" s="11" t="s">
        <v>476</v>
      </c>
      <c r="F86" s="11" t="s">
        <v>757</v>
      </c>
      <c r="G86" s="11">
        <v>579</v>
      </c>
      <c r="H86" s="11">
        <f t="shared" si="2"/>
        <v>800</v>
      </c>
      <c r="I86" s="11">
        <f t="shared" si="3"/>
        <v>463200</v>
      </c>
      <c r="J86" s="11" t="s">
        <v>775</v>
      </c>
    </row>
    <row r="87" spans="1:10" x14ac:dyDescent="0.35">
      <c r="A87" s="11" t="s">
        <v>762</v>
      </c>
      <c r="B87" s="11" t="s">
        <v>751</v>
      </c>
      <c r="C87" s="18" t="s">
        <v>12</v>
      </c>
      <c r="D87" s="18" t="s">
        <v>344</v>
      </c>
      <c r="E87" s="11" t="s">
        <v>375</v>
      </c>
      <c r="F87" s="11" t="s">
        <v>756</v>
      </c>
      <c r="G87" s="11">
        <v>6513</v>
      </c>
      <c r="H87" s="11">
        <f t="shared" si="2"/>
        <v>250</v>
      </c>
      <c r="I87" s="11">
        <f t="shared" si="3"/>
        <v>1628250</v>
      </c>
      <c r="J87" s="11" t="s">
        <v>776</v>
      </c>
    </row>
    <row r="88" spans="1:10" x14ac:dyDescent="0.35">
      <c r="A88" s="11" t="s">
        <v>741</v>
      </c>
      <c r="B88" s="11" t="s">
        <v>751</v>
      </c>
      <c r="C88" s="18" t="s">
        <v>40</v>
      </c>
      <c r="D88" s="18" t="s">
        <v>132</v>
      </c>
      <c r="E88" s="11" t="s">
        <v>133</v>
      </c>
      <c r="F88" s="11" t="s">
        <v>767</v>
      </c>
      <c r="G88" s="11">
        <v>7751</v>
      </c>
      <c r="H88" s="11">
        <f t="shared" si="2"/>
        <v>550</v>
      </c>
      <c r="I88" s="11">
        <f t="shared" si="3"/>
        <v>4263050</v>
      </c>
      <c r="J88" s="11" t="s">
        <v>775</v>
      </c>
    </row>
    <row r="89" spans="1:10" x14ac:dyDescent="0.35">
      <c r="A89" s="11" t="s">
        <v>765</v>
      </c>
      <c r="B89" s="11" t="s">
        <v>748</v>
      </c>
      <c r="C89" s="18" t="s">
        <v>653</v>
      </c>
      <c r="D89" s="18" t="s">
        <v>654</v>
      </c>
      <c r="E89" s="11" t="s">
        <v>655</v>
      </c>
      <c r="F89" s="11" t="s">
        <v>759</v>
      </c>
      <c r="G89" s="11">
        <v>6287</v>
      </c>
      <c r="H89" s="11">
        <f t="shared" si="2"/>
        <v>2000</v>
      </c>
      <c r="I89" s="11">
        <f t="shared" si="3"/>
        <v>12574000</v>
      </c>
      <c r="J89" s="11" t="s">
        <v>775</v>
      </c>
    </row>
    <row r="90" spans="1:10" x14ac:dyDescent="0.35">
      <c r="A90" s="11" t="s">
        <v>765</v>
      </c>
      <c r="B90" s="11" t="s">
        <v>751</v>
      </c>
      <c r="C90" s="18" t="s">
        <v>12</v>
      </c>
      <c r="D90" s="18" t="s">
        <v>641</v>
      </c>
      <c r="E90" s="11" t="s">
        <v>642</v>
      </c>
      <c r="F90" s="11" t="s">
        <v>767</v>
      </c>
      <c r="G90" s="11">
        <v>2540</v>
      </c>
      <c r="H90" s="11">
        <f t="shared" si="2"/>
        <v>2000</v>
      </c>
      <c r="I90" s="11">
        <f t="shared" si="3"/>
        <v>5080000</v>
      </c>
      <c r="J90" s="11" t="s">
        <v>775</v>
      </c>
    </row>
    <row r="91" spans="1:10" x14ac:dyDescent="0.35">
      <c r="A91" s="11" t="s">
        <v>741</v>
      </c>
      <c r="B91" s="11" t="s">
        <v>742</v>
      </c>
      <c r="C91" s="18" t="s">
        <v>12</v>
      </c>
      <c r="D91" s="18" t="s">
        <v>79</v>
      </c>
      <c r="E91" s="11" t="s">
        <v>80</v>
      </c>
      <c r="F91" s="11" t="s">
        <v>767</v>
      </c>
      <c r="G91" s="11">
        <v>6802</v>
      </c>
      <c r="H91" s="11">
        <f t="shared" si="2"/>
        <v>550</v>
      </c>
      <c r="I91" s="11">
        <f t="shared" si="3"/>
        <v>3741100</v>
      </c>
      <c r="J91" s="11" t="s">
        <v>775</v>
      </c>
    </row>
    <row r="92" spans="1:10" x14ac:dyDescent="0.35">
      <c r="A92" s="11" t="s">
        <v>741</v>
      </c>
      <c r="B92" s="11" t="s">
        <v>748</v>
      </c>
      <c r="C92" s="18" t="s">
        <v>12</v>
      </c>
      <c r="D92" s="18" t="s">
        <v>228</v>
      </c>
      <c r="E92" s="11" t="s">
        <v>674</v>
      </c>
      <c r="F92" s="11" t="s">
        <v>757</v>
      </c>
      <c r="G92" s="11">
        <v>543</v>
      </c>
      <c r="H92" s="11">
        <f t="shared" si="2"/>
        <v>550</v>
      </c>
      <c r="I92" s="11">
        <f t="shared" si="3"/>
        <v>298650</v>
      </c>
      <c r="J92" s="11" t="s">
        <v>775</v>
      </c>
    </row>
    <row r="93" spans="1:10" x14ac:dyDescent="0.35">
      <c r="A93" s="11" t="s">
        <v>764</v>
      </c>
      <c r="B93" s="11" t="s">
        <v>742</v>
      </c>
      <c r="C93" s="18" t="s">
        <v>12</v>
      </c>
      <c r="D93" s="18" t="s">
        <v>533</v>
      </c>
      <c r="E93" s="11" t="s">
        <v>534</v>
      </c>
      <c r="F93" s="11" t="s">
        <v>743</v>
      </c>
      <c r="G93" s="11">
        <v>7693</v>
      </c>
      <c r="H93" s="11">
        <f t="shared" si="2"/>
        <v>650</v>
      </c>
      <c r="I93" s="11">
        <f t="shared" si="3"/>
        <v>5000450</v>
      </c>
      <c r="J93" s="11" t="s">
        <v>775</v>
      </c>
    </row>
    <row r="94" spans="1:10" x14ac:dyDescent="0.35">
      <c r="A94" s="11" t="s">
        <v>744</v>
      </c>
      <c r="B94" s="11" t="s">
        <v>745</v>
      </c>
      <c r="C94" s="18" t="s">
        <v>192</v>
      </c>
      <c r="D94" s="18" t="s">
        <v>193</v>
      </c>
      <c r="E94" s="11" t="s">
        <v>616</v>
      </c>
      <c r="F94" s="11" t="s">
        <v>752</v>
      </c>
      <c r="G94" s="11">
        <v>2049</v>
      </c>
      <c r="H94" s="11">
        <f t="shared" si="2"/>
        <v>800</v>
      </c>
      <c r="I94" s="11">
        <f t="shared" si="3"/>
        <v>1639200</v>
      </c>
      <c r="J94" s="11" t="s">
        <v>775</v>
      </c>
    </row>
    <row r="95" spans="1:10" x14ac:dyDescent="0.35">
      <c r="A95" s="11" t="s">
        <v>758</v>
      </c>
      <c r="B95" s="11" t="s">
        <v>748</v>
      </c>
      <c r="C95" s="18" t="s">
        <v>40</v>
      </c>
      <c r="D95" s="18" t="s">
        <v>222</v>
      </c>
      <c r="E95" s="11" t="s">
        <v>223</v>
      </c>
      <c r="F95" s="11" t="s">
        <v>763</v>
      </c>
      <c r="G95" s="11">
        <v>9728</v>
      </c>
      <c r="H95" s="11">
        <f t="shared" si="2"/>
        <v>150</v>
      </c>
      <c r="I95" s="11">
        <f t="shared" si="3"/>
        <v>1459200</v>
      </c>
      <c r="J95" s="11" t="s">
        <v>776</v>
      </c>
    </row>
    <row r="96" spans="1:10" x14ac:dyDescent="0.35">
      <c r="A96" s="11" t="s">
        <v>760</v>
      </c>
      <c r="B96" s="11" t="s">
        <v>751</v>
      </c>
      <c r="C96" s="18" t="s">
        <v>486</v>
      </c>
      <c r="D96" s="18" t="s">
        <v>554</v>
      </c>
      <c r="E96" s="11" t="s">
        <v>555</v>
      </c>
      <c r="F96" s="11" t="s">
        <v>767</v>
      </c>
      <c r="G96" s="11">
        <v>5982</v>
      </c>
      <c r="H96" s="11">
        <f t="shared" si="2"/>
        <v>1600</v>
      </c>
      <c r="I96" s="11">
        <f t="shared" si="3"/>
        <v>9571200</v>
      </c>
      <c r="J96" s="11" t="s">
        <v>775</v>
      </c>
    </row>
    <row r="97" spans="1:10" x14ac:dyDescent="0.35">
      <c r="A97" s="11" t="s">
        <v>750</v>
      </c>
      <c r="B97" s="11" t="s">
        <v>751</v>
      </c>
      <c r="C97" s="18" t="s">
        <v>40</v>
      </c>
      <c r="D97" s="18" t="s">
        <v>232</v>
      </c>
      <c r="E97" s="11" t="s">
        <v>445</v>
      </c>
      <c r="F97" s="11" t="s">
        <v>757</v>
      </c>
      <c r="G97" s="11">
        <v>7162</v>
      </c>
      <c r="H97" s="11">
        <f t="shared" si="2"/>
        <v>1500</v>
      </c>
      <c r="I97" s="11">
        <f t="shared" si="3"/>
        <v>10743000</v>
      </c>
      <c r="J97" s="11" t="s">
        <v>775</v>
      </c>
    </row>
    <row r="98" spans="1:10" x14ac:dyDescent="0.35">
      <c r="A98" s="11" t="s">
        <v>744</v>
      </c>
      <c r="B98" s="11" t="s">
        <v>745</v>
      </c>
      <c r="C98" s="18" t="s">
        <v>128</v>
      </c>
      <c r="D98" s="18" t="s">
        <v>129</v>
      </c>
      <c r="E98" s="11" t="s">
        <v>423</v>
      </c>
      <c r="F98" s="11" t="s">
        <v>756</v>
      </c>
      <c r="G98" s="11">
        <v>595</v>
      </c>
      <c r="H98" s="11">
        <f t="shared" si="2"/>
        <v>800</v>
      </c>
      <c r="I98" s="11">
        <f t="shared" si="3"/>
        <v>476000</v>
      </c>
      <c r="J98" s="11" t="s">
        <v>775</v>
      </c>
    </row>
    <row r="99" spans="1:10" x14ac:dyDescent="0.35">
      <c r="A99" s="11" t="s">
        <v>753</v>
      </c>
      <c r="B99" s="11" t="s">
        <v>748</v>
      </c>
      <c r="C99" s="18" t="s">
        <v>12</v>
      </c>
      <c r="D99" s="18" t="s">
        <v>565</v>
      </c>
      <c r="E99" s="11" t="s">
        <v>566</v>
      </c>
      <c r="F99" s="11" t="s">
        <v>768</v>
      </c>
      <c r="G99" s="11">
        <v>2194</v>
      </c>
      <c r="H99" s="11">
        <f t="shared" si="2"/>
        <v>450</v>
      </c>
      <c r="I99" s="11">
        <f t="shared" si="3"/>
        <v>987300</v>
      </c>
      <c r="J99" s="11" t="s">
        <v>776</v>
      </c>
    </row>
    <row r="100" spans="1:10" x14ac:dyDescent="0.35">
      <c r="A100" s="11" t="s">
        <v>760</v>
      </c>
      <c r="B100" s="11" t="s">
        <v>748</v>
      </c>
      <c r="C100" s="18" t="s">
        <v>12</v>
      </c>
      <c r="D100" s="18" t="s">
        <v>331</v>
      </c>
      <c r="E100" s="11" t="s">
        <v>639</v>
      </c>
      <c r="F100" s="11" t="s">
        <v>749</v>
      </c>
      <c r="G100" s="11">
        <v>3324</v>
      </c>
      <c r="H100" s="11">
        <f t="shared" si="2"/>
        <v>1600</v>
      </c>
      <c r="I100" s="11">
        <f t="shared" si="3"/>
        <v>5318400</v>
      </c>
      <c r="J100" s="11" t="s">
        <v>775</v>
      </c>
    </row>
    <row r="101" spans="1:10" x14ac:dyDescent="0.35">
      <c r="A101" s="11" t="s">
        <v>762</v>
      </c>
      <c r="B101" s="11" t="s">
        <v>745</v>
      </c>
      <c r="C101" s="18" t="s">
        <v>192</v>
      </c>
      <c r="D101" s="18" t="s">
        <v>595</v>
      </c>
      <c r="E101" s="11" t="s">
        <v>596</v>
      </c>
      <c r="F101" s="11" t="s">
        <v>749</v>
      </c>
      <c r="G101" s="11">
        <v>1514</v>
      </c>
      <c r="H101" s="11">
        <f t="shared" si="2"/>
        <v>250</v>
      </c>
      <c r="I101" s="11">
        <f t="shared" si="3"/>
        <v>378500</v>
      </c>
      <c r="J101" s="11" t="s">
        <v>776</v>
      </c>
    </row>
    <row r="102" spans="1:10" x14ac:dyDescent="0.35">
      <c r="A102" s="11" t="s">
        <v>760</v>
      </c>
      <c r="B102" s="11" t="s">
        <v>748</v>
      </c>
      <c r="C102" s="18" t="s">
        <v>12</v>
      </c>
      <c r="D102" s="18" t="s">
        <v>684</v>
      </c>
      <c r="E102" s="11" t="s">
        <v>685</v>
      </c>
      <c r="F102" s="11" t="s">
        <v>754</v>
      </c>
      <c r="G102" s="11">
        <v>9162</v>
      </c>
      <c r="H102" s="11">
        <f t="shared" si="2"/>
        <v>1600</v>
      </c>
      <c r="I102" s="11">
        <f t="shared" si="3"/>
        <v>14659200</v>
      </c>
      <c r="J102" s="11" t="s">
        <v>775</v>
      </c>
    </row>
    <row r="103" spans="1:10" x14ac:dyDescent="0.35">
      <c r="A103" s="11" t="s">
        <v>750</v>
      </c>
      <c r="B103" s="11" t="s">
        <v>745</v>
      </c>
      <c r="C103" s="18" t="s">
        <v>12</v>
      </c>
      <c r="D103" s="18" t="s">
        <v>245</v>
      </c>
      <c r="E103" s="11" t="s">
        <v>246</v>
      </c>
      <c r="F103" s="11" t="s">
        <v>768</v>
      </c>
      <c r="G103" s="11">
        <v>2107</v>
      </c>
      <c r="H103" s="11">
        <f t="shared" si="2"/>
        <v>1500</v>
      </c>
      <c r="I103" s="11">
        <f t="shared" si="3"/>
        <v>3160500</v>
      </c>
      <c r="J103" s="11" t="s">
        <v>776</v>
      </c>
    </row>
    <row r="104" spans="1:10" x14ac:dyDescent="0.35">
      <c r="A104" s="11" t="s">
        <v>765</v>
      </c>
      <c r="B104" s="11" t="s">
        <v>742</v>
      </c>
      <c r="C104" s="18" t="s">
        <v>12</v>
      </c>
      <c r="D104" s="18" t="s">
        <v>71</v>
      </c>
      <c r="E104" s="11" t="s">
        <v>72</v>
      </c>
      <c r="F104" s="11" t="s">
        <v>756</v>
      </c>
      <c r="G104" s="11">
        <v>6805</v>
      </c>
      <c r="H104" s="11">
        <f t="shared" si="2"/>
        <v>2000</v>
      </c>
      <c r="I104" s="11">
        <f t="shared" si="3"/>
        <v>13610000</v>
      </c>
      <c r="J104" s="11" t="s">
        <v>775</v>
      </c>
    </row>
    <row r="105" spans="1:10" x14ac:dyDescent="0.35">
      <c r="A105" s="11" t="s">
        <v>741</v>
      </c>
      <c r="B105" s="11" t="s">
        <v>745</v>
      </c>
      <c r="C105" s="18" t="s">
        <v>12</v>
      </c>
      <c r="D105" s="18" t="s">
        <v>50</v>
      </c>
      <c r="E105" s="11" t="s">
        <v>588</v>
      </c>
      <c r="F105" s="11" t="s">
        <v>767</v>
      </c>
      <c r="G105" s="11">
        <v>3227</v>
      </c>
      <c r="H105" s="11">
        <f t="shared" si="2"/>
        <v>550</v>
      </c>
      <c r="I105" s="11">
        <f t="shared" si="3"/>
        <v>1774850</v>
      </c>
      <c r="J105" s="11" t="s">
        <v>776</v>
      </c>
    </row>
    <row r="106" spans="1:10" x14ac:dyDescent="0.35">
      <c r="A106" s="11" t="s">
        <v>762</v>
      </c>
      <c r="B106" s="11" t="s">
        <v>742</v>
      </c>
      <c r="C106" s="18" t="s">
        <v>61</v>
      </c>
      <c r="D106" s="18" t="s">
        <v>62</v>
      </c>
      <c r="E106" s="11" t="s">
        <v>63</v>
      </c>
      <c r="F106" s="11" t="s">
        <v>756</v>
      </c>
      <c r="G106" s="11">
        <v>8684</v>
      </c>
      <c r="H106" s="11">
        <f t="shared" si="2"/>
        <v>250</v>
      </c>
      <c r="I106" s="11">
        <f t="shared" si="3"/>
        <v>2171000</v>
      </c>
      <c r="J106" s="11" t="s">
        <v>775</v>
      </c>
    </row>
    <row r="107" spans="1:10" x14ac:dyDescent="0.35">
      <c r="A107" s="11" t="s">
        <v>764</v>
      </c>
      <c r="B107" s="11" t="s">
        <v>748</v>
      </c>
      <c r="C107" s="18" t="s">
        <v>12</v>
      </c>
      <c r="D107" s="18" t="s">
        <v>336</v>
      </c>
      <c r="E107" s="11" t="s">
        <v>337</v>
      </c>
      <c r="F107" s="11" t="s">
        <v>752</v>
      </c>
      <c r="G107" s="11">
        <v>8431</v>
      </c>
      <c r="H107" s="11">
        <f t="shared" si="2"/>
        <v>650</v>
      </c>
      <c r="I107" s="11">
        <f t="shared" si="3"/>
        <v>5480150</v>
      </c>
      <c r="J107" s="11" t="s">
        <v>775</v>
      </c>
    </row>
    <row r="108" spans="1:10" ht="46.5" x14ac:dyDescent="0.35">
      <c r="A108" s="11" t="s">
        <v>753</v>
      </c>
      <c r="B108" s="11" t="s">
        <v>742</v>
      </c>
      <c r="C108" s="18" t="s">
        <v>12</v>
      </c>
      <c r="D108" s="18" t="s">
        <v>663</v>
      </c>
      <c r="E108" s="11" t="s">
        <v>664</v>
      </c>
      <c r="F108" s="11" t="s">
        <v>756</v>
      </c>
      <c r="G108" s="11">
        <v>8964</v>
      </c>
      <c r="H108" s="11">
        <f t="shared" si="2"/>
        <v>450</v>
      </c>
      <c r="I108" s="11">
        <f t="shared" si="3"/>
        <v>4033800</v>
      </c>
      <c r="J108" s="11" t="s">
        <v>776</v>
      </c>
    </row>
    <row r="109" spans="1:10" x14ac:dyDescent="0.35">
      <c r="A109" s="11" t="s">
        <v>760</v>
      </c>
      <c r="B109" s="11" t="s">
        <v>742</v>
      </c>
      <c r="C109" s="18" t="s">
        <v>65</v>
      </c>
      <c r="D109" s="18" t="s">
        <v>66</v>
      </c>
      <c r="E109" s="11" t="s">
        <v>67</v>
      </c>
      <c r="F109" s="11" t="s">
        <v>749</v>
      </c>
      <c r="G109" s="11">
        <v>2728</v>
      </c>
      <c r="H109" s="11">
        <f t="shared" si="2"/>
        <v>1600</v>
      </c>
      <c r="I109" s="11">
        <f t="shared" si="3"/>
        <v>4364800</v>
      </c>
      <c r="J109" s="11" t="s">
        <v>775</v>
      </c>
    </row>
    <row r="110" spans="1:10" x14ac:dyDescent="0.35">
      <c r="A110" s="11" t="s">
        <v>755</v>
      </c>
      <c r="B110" s="11" t="s">
        <v>745</v>
      </c>
      <c r="C110" s="18" t="s">
        <v>40</v>
      </c>
      <c r="D110" s="18" t="s">
        <v>232</v>
      </c>
      <c r="E110" s="11" t="s">
        <v>233</v>
      </c>
      <c r="F110" s="11" t="s">
        <v>768</v>
      </c>
      <c r="G110" s="11">
        <v>6519</v>
      </c>
      <c r="H110" s="11">
        <f t="shared" si="2"/>
        <v>1000</v>
      </c>
      <c r="I110" s="11">
        <f t="shared" si="3"/>
        <v>6519000</v>
      </c>
      <c r="J110" s="11" t="s">
        <v>776</v>
      </c>
    </row>
    <row r="111" spans="1:10" x14ac:dyDescent="0.35">
      <c r="A111" s="11" t="s">
        <v>765</v>
      </c>
      <c r="B111" s="11" t="s">
        <v>742</v>
      </c>
      <c r="C111" s="18" t="s">
        <v>65</v>
      </c>
      <c r="D111" s="18" t="s">
        <v>506</v>
      </c>
      <c r="E111" s="11" t="s">
        <v>507</v>
      </c>
      <c r="F111" s="11" t="s">
        <v>754</v>
      </c>
      <c r="G111" s="11">
        <v>7764</v>
      </c>
      <c r="H111" s="11">
        <f t="shared" si="2"/>
        <v>2000</v>
      </c>
      <c r="I111" s="11">
        <f t="shared" si="3"/>
        <v>15528000</v>
      </c>
      <c r="J111" s="11" t="s">
        <v>775</v>
      </c>
    </row>
    <row r="112" spans="1:10" x14ac:dyDescent="0.35">
      <c r="A112" s="11" t="s">
        <v>765</v>
      </c>
      <c r="B112" s="11" t="s">
        <v>745</v>
      </c>
      <c r="C112" s="18" t="s">
        <v>12</v>
      </c>
      <c r="D112" s="18" t="s">
        <v>344</v>
      </c>
      <c r="E112" s="11" t="s">
        <v>422</v>
      </c>
      <c r="F112" s="11" t="s">
        <v>754</v>
      </c>
      <c r="G112" s="11">
        <v>5201</v>
      </c>
      <c r="H112" s="11">
        <f t="shared" si="2"/>
        <v>2000</v>
      </c>
      <c r="I112" s="11">
        <f t="shared" si="3"/>
        <v>10402000</v>
      </c>
      <c r="J112" s="11" t="s">
        <v>775</v>
      </c>
    </row>
    <row r="113" spans="1:10" x14ac:dyDescent="0.35">
      <c r="A113" s="11" t="s">
        <v>744</v>
      </c>
      <c r="B113" s="11" t="s">
        <v>742</v>
      </c>
      <c r="C113" s="18" t="s">
        <v>65</v>
      </c>
      <c r="D113" s="18" t="s">
        <v>94</v>
      </c>
      <c r="E113" s="11" t="s">
        <v>96</v>
      </c>
      <c r="F113" s="11" t="s">
        <v>743</v>
      </c>
      <c r="G113" s="11">
        <v>4800</v>
      </c>
      <c r="H113" s="11">
        <f t="shared" si="2"/>
        <v>800</v>
      </c>
      <c r="I113" s="11">
        <f t="shared" si="3"/>
        <v>3840000</v>
      </c>
      <c r="J113" s="11" t="s">
        <v>776</v>
      </c>
    </row>
    <row r="114" spans="1:10" x14ac:dyDescent="0.35">
      <c r="A114" s="11" t="s">
        <v>755</v>
      </c>
      <c r="B114" s="11" t="s">
        <v>751</v>
      </c>
      <c r="C114" s="18" t="s">
        <v>12</v>
      </c>
      <c r="D114" s="18" t="s">
        <v>195</v>
      </c>
      <c r="E114" s="11" t="s">
        <v>412</v>
      </c>
      <c r="F114" s="11" t="s">
        <v>749</v>
      </c>
      <c r="G114" s="11">
        <v>1515</v>
      </c>
      <c r="H114" s="11">
        <f t="shared" si="2"/>
        <v>1000</v>
      </c>
      <c r="I114" s="11">
        <f t="shared" si="3"/>
        <v>1515000</v>
      </c>
      <c r="J114" s="11" t="s">
        <v>775</v>
      </c>
    </row>
    <row r="115" spans="1:10" x14ac:dyDescent="0.35">
      <c r="A115" s="11" t="s">
        <v>760</v>
      </c>
      <c r="B115" s="11" t="s">
        <v>751</v>
      </c>
      <c r="C115" s="18" t="s">
        <v>12</v>
      </c>
      <c r="D115" s="18" t="s">
        <v>73</v>
      </c>
      <c r="E115" s="11" t="s">
        <v>74</v>
      </c>
      <c r="F115" s="11" t="s">
        <v>743</v>
      </c>
      <c r="G115" s="11">
        <v>8570</v>
      </c>
      <c r="H115" s="11">
        <f t="shared" si="2"/>
        <v>1600</v>
      </c>
      <c r="I115" s="11">
        <f t="shared" si="3"/>
        <v>13712000</v>
      </c>
      <c r="J115" s="11" t="s">
        <v>776</v>
      </c>
    </row>
    <row r="116" spans="1:10" x14ac:dyDescent="0.35">
      <c r="A116" s="11" t="s">
        <v>755</v>
      </c>
      <c r="B116" s="11" t="s">
        <v>751</v>
      </c>
      <c r="C116" s="18" t="s">
        <v>12</v>
      </c>
      <c r="D116" s="18" t="s">
        <v>634</v>
      </c>
      <c r="E116" s="11" t="s">
        <v>635</v>
      </c>
      <c r="F116" s="11" t="s">
        <v>754</v>
      </c>
      <c r="G116" s="11">
        <v>2142</v>
      </c>
      <c r="H116" s="11">
        <f t="shared" si="2"/>
        <v>1000</v>
      </c>
      <c r="I116" s="11">
        <f t="shared" si="3"/>
        <v>2142000</v>
      </c>
      <c r="J116" s="11" t="s">
        <v>776</v>
      </c>
    </row>
    <row r="117" spans="1:10" x14ac:dyDescent="0.35">
      <c r="A117" s="11" t="s">
        <v>766</v>
      </c>
      <c r="B117" s="11" t="s">
        <v>742</v>
      </c>
      <c r="C117" s="18" t="s">
        <v>453</v>
      </c>
      <c r="D117" s="18" t="s">
        <v>454</v>
      </c>
      <c r="E117" s="11" t="s">
        <v>455</v>
      </c>
      <c r="F117" s="11" t="s">
        <v>749</v>
      </c>
      <c r="G117" s="11">
        <v>4565</v>
      </c>
      <c r="H117" s="11">
        <f t="shared" si="2"/>
        <v>1440</v>
      </c>
      <c r="I117" s="11">
        <f t="shared" si="3"/>
        <v>6573600</v>
      </c>
      <c r="J117" s="11" t="s">
        <v>775</v>
      </c>
    </row>
    <row r="118" spans="1:10" x14ac:dyDescent="0.35">
      <c r="A118" s="11" t="s">
        <v>747</v>
      </c>
      <c r="B118" s="11" t="s">
        <v>748</v>
      </c>
      <c r="C118" s="18" t="s">
        <v>215</v>
      </c>
      <c r="D118" s="18" t="s">
        <v>215</v>
      </c>
      <c r="E118" s="11" t="s">
        <v>216</v>
      </c>
      <c r="F118" s="11" t="s">
        <v>757</v>
      </c>
      <c r="G118" s="11">
        <v>8618</v>
      </c>
      <c r="H118" s="11">
        <f t="shared" si="2"/>
        <v>700</v>
      </c>
      <c r="I118" s="11">
        <f t="shared" si="3"/>
        <v>6032600</v>
      </c>
      <c r="J118" s="11" t="s">
        <v>775</v>
      </c>
    </row>
    <row r="119" spans="1:10" x14ac:dyDescent="0.35">
      <c r="A119" s="11" t="s">
        <v>753</v>
      </c>
      <c r="B119" s="11" t="s">
        <v>745</v>
      </c>
      <c r="C119" s="18" t="s">
        <v>12</v>
      </c>
      <c r="D119" s="18" t="s">
        <v>124</v>
      </c>
      <c r="E119" s="11" t="s">
        <v>125</v>
      </c>
      <c r="F119" s="11" t="s">
        <v>768</v>
      </c>
      <c r="G119" s="11">
        <v>6622</v>
      </c>
      <c r="H119" s="11">
        <f t="shared" si="2"/>
        <v>450</v>
      </c>
      <c r="I119" s="11">
        <f t="shared" si="3"/>
        <v>2979900</v>
      </c>
      <c r="J119" s="11" t="s">
        <v>776</v>
      </c>
    </row>
    <row r="120" spans="1:10" x14ac:dyDescent="0.35">
      <c r="A120" s="11" t="s">
        <v>762</v>
      </c>
      <c r="B120" s="11" t="s">
        <v>745</v>
      </c>
      <c r="C120" s="18" t="s">
        <v>65</v>
      </c>
      <c r="D120" s="18" t="s">
        <v>712</v>
      </c>
      <c r="E120" s="11" t="s">
        <v>713</v>
      </c>
      <c r="F120" s="11" t="s">
        <v>763</v>
      </c>
      <c r="G120" s="11">
        <v>3896</v>
      </c>
      <c r="H120" s="11">
        <f t="shared" si="2"/>
        <v>250</v>
      </c>
      <c r="I120" s="11">
        <f t="shared" si="3"/>
        <v>974000</v>
      </c>
      <c r="J120" s="11" t="s">
        <v>775</v>
      </c>
    </row>
    <row r="121" spans="1:10" x14ac:dyDescent="0.35">
      <c r="A121" s="11" t="s">
        <v>760</v>
      </c>
      <c r="B121" s="11" t="s">
        <v>745</v>
      </c>
      <c r="C121" s="18" t="s">
        <v>12</v>
      </c>
      <c r="D121" s="18" t="s">
        <v>13</v>
      </c>
      <c r="E121" s="11" t="s">
        <v>427</v>
      </c>
      <c r="F121" s="11" t="s">
        <v>763</v>
      </c>
      <c r="G121" s="11">
        <v>2839</v>
      </c>
      <c r="H121" s="11">
        <f t="shared" si="2"/>
        <v>1600</v>
      </c>
      <c r="I121" s="11">
        <f t="shared" si="3"/>
        <v>4542400</v>
      </c>
      <c r="J121" s="11" t="s">
        <v>775</v>
      </c>
    </row>
    <row r="122" spans="1:10" x14ac:dyDescent="0.35">
      <c r="A122" s="11" t="s">
        <v>755</v>
      </c>
      <c r="B122" s="11" t="s">
        <v>742</v>
      </c>
      <c r="C122" s="18" t="s">
        <v>9</v>
      </c>
      <c r="D122" s="18" t="s">
        <v>10</v>
      </c>
      <c r="E122" s="11" t="s">
        <v>600</v>
      </c>
      <c r="F122" s="11" t="s">
        <v>749</v>
      </c>
      <c r="G122" s="11">
        <v>8676</v>
      </c>
      <c r="H122" s="11">
        <f t="shared" si="2"/>
        <v>1000</v>
      </c>
      <c r="I122" s="11">
        <f t="shared" si="3"/>
        <v>8676000</v>
      </c>
      <c r="J122" s="11" t="s">
        <v>775</v>
      </c>
    </row>
    <row r="123" spans="1:10" x14ac:dyDescent="0.35">
      <c r="A123" s="11" t="s">
        <v>764</v>
      </c>
      <c r="B123" s="11" t="s">
        <v>751</v>
      </c>
      <c r="C123" s="18" t="s">
        <v>61</v>
      </c>
      <c r="D123" s="18" t="s">
        <v>251</v>
      </c>
      <c r="E123" s="11" t="s">
        <v>252</v>
      </c>
      <c r="F123" s="11" t="s">
        <v>761</v>
      </c>
      <c r="G123" s="11">
        <v>1720</v>
      </c>
      <c r="H123" s="11">
        <f t="shared" si="2"/>
        <v>650</v>
      </c>
      <c r="I123" s="11">
        <f t="shared" si="3"/>
        <v>1118000</v>
      </c>
      <c r="J123" s="11" t="s">
        <v>775</v>
      </c>
    </row>
    <row r="124" spans="1:10" x14ac:dyDescent="0.35">
      <c r="A124" s="11" t="s">
        <v>760</v>
      </c>
      <c r="B124" s="11" t="s">
        <v>748</v>
      </c>
      <c r="C124" s="18" t="s">
        <v>40</v>
      </c>
      <c r="D124" s="18" t="s">
        <v>75</v>
      </c>
      <c r="E124" s="11" t="s">
        <v>166</v>
      </c>
      <c r="F124" s="11" t="s">
        <v>749</v>
      </c>
      <c r="G124" s="11">
        <v>9832</v>
      </c>
      <c r="H124" s="11">
        <f t="shared" si="2"/>
        <v>1600</v>
      </c>
      <c r="I124" s="11">
        <f t="shared" si="3"/>
        <v>15731200</v>
      </c>
      <c r="J124" s="11" t="s">
        <v>776</v>
      </c>
    </row>
    <row r="125" spans="1:10" x14ac:dyDescent="0.35">
      <c r="A125" s="11" t="s">
        <v>744</v>
      </c>
      <c r="B125" s="11" t="s">
        <v>745</v>
      </c>
      <c r="C125" s="18" t="s">
        <v>12</v>
      </c>
      <c r="D125" s="18" t="s">
        <v>519</v>
      </c>
      <c r="E125" s="11" t="s">
        <v>597</v>
      </c>
      <c r="F125" s="11" t="s">
        <v>749</v>
      </c>
      <c r="G125" s="11">
        <v>9031</v>
      </c>
      <c r="H125" s="11">
        <f t="shared" si="2"/>
        <v>800</v>
      </c>
      <c r="I125" s="11">
        <f t="shared" si="3"/>
        <v>7224800</v>
      </c>
      <c r="J125" s="11" t="s">
        <v>776</v>
      </c>
    </row>
    <row r="126" spans="1:10" x14ac:dyDescent="0.35">
      <c r="A126" s="11" t="s">
        <v>741</v>
      </c>
      <c r="B126" s="11" t="s">
        <v>745</v>
      </c>
      <c r="C126" s="18" t="s">
        <v>12</v>
      </c>
      <c r="D126" s="18" t="s">
        <v>645</v>
      </c>
      <c r="E126" s="11" t="s">
        <v>720</v>
      </c>
      <c r="F126" s="11" t="s">
        <v>763</v>
      </c>
      <c r="G126" s="11">
        <v>4028</v>
      </c>
      <c r="H126" s="11">
        <f t="shared" si="2"/>
        <v>550</v>
      </c>
      <c r="I126" s="11">
        <f t="shared" si="3"/>
        <v>2215400</v>
      </c>
      <c r="J126" s="11" t="s">
        <v>775</v>
      </c>
    </row>
    <row r="127" spans="1:10" x14ac:dyDescent="0.35">
      <c r="A127" s="11" t="s">
        <v>765</v>
      </c>
      <c r="B127" s="11" t="s">
        <v>742</v>
      </c>
      <c r="C127" s="18" t="s">
        <v>108</v>
      </c>
      <c r="D127" s="18" t="s">
        <v>109</v>
      </c>
      <c r="E127" s="11" t="s">
        <v>110</v>
      </c>
      <c r="F127" s="11" t="s">
        <v>743</v>
      </c>
      <c r="G127" s="11">
        <v>3253</v>
      </c>
      <c r="H127" s="11">
        <f t="shared" si="2"/>
        <v>2000</v>
      </c>
      <c r="I127" s="11">
        <f t="shared" si="3"/>
        <v>6506000</v>
      </c>
      <c r="J127" s="11" t="s">
        <v>776</v>
      </c>
    </row>
    <row r="128" spans="1:10" x14ac:dyDescent="0.35">
      <c r="A128" s="11" t="s">
        <v>762</v>
      </c>
      <c r="B128" s="11" t="s">
        <v>748</v>
      </c>
      <c r="C128" s="18" t="s">
        <v>65</v>
      </c>
      <c r="D128" s="18" t="s">
        <v>341</v>
      </c>
      <c r="E128" s="11" t="s">
        <v>342</v>
      </c>
      <c r="F128" s="11" t="s">
        <v>759</v>
      </c>
      <c r="G128" s="11">
        <v>2672</v>
      </c>
      <c r="H128" s="11">
        <f t="shared" si="2"/>
        <v>250</v>
      </c>
      <c r="I128" s="11">
        <f t="shared" si="3"/>
        <v>668000</v>
      </c>
      <c r="J128" s="11" t="s">
        <v>776</v>
      </c>
    </row>
    <row r="129" spans="1:10" x14ac:dyDescent="0.35">
      <c r="A129" s="11" t="s">
        <v>744</v>
      </c>
      <c r="B129" s="11" t="s">
        <v>742</v>
      </c>
      <c r="C129" s="18" t="s">
        <v>9</v>
      </c>
      <c r="D129" s="18" t="s">
        <v>10</v>
      </c>
      <c r="E129" s="11" t="s">
        <v>338</v>
      </c>
      <c r="F129" s="11" t="s">
        <v>754</v>
      </c>
      <c r="G129" s="11">
        <v>3054</v>
      </c>
      <c r="H129" s="11">
        <f t="shared" si="2"/>
        <v>800</v>
      </c>
      <c r="I129" s="11">
        <f t="shared" si="3"/>
        <v>2443200</v>
      </c>
      <c r="J129" s="11" t="s">
        <v>775</v>
      </c>
    </row>
    <row r="130" spans="1:10" x14ac:dyDescent="0.35">
      <c r="A130" s="11" t="s">
        <v>755</v>
      </c>
      <c r="B130" s="11" t="s">
        <v>742</v>
      </c>
      <c r="C130" s="18" t="s">
        <v>61</v>
      </c>
      <c r="D130" s="18" t="s">
        <v>361</v>
      </c>
      <c r="E130" s="11" t="s">
        <v>629</v>
      </c>
      <c r="F130" s="11" t="s">
        <v>756</v>
      </c>
      <c r="G130" s="11">
        <v>9298</v>
      </c>
      <c r="H130" s="11">
        <f t="shared" si="2"/>
        <v>1000</v>
      </c>
      <c r="I130" s="11">
        <f t="shared" si="3"/>
        <v>9298000</v>
      </c>
      <c r="J130" s="11" t="s">
        <v>776</v>
      </c>
    </row>
    <row r="131" spans="1:10" x14ac:dyDescent="0.35">
      <c r="A131" s="11" t="s">
        <v>755</v>
      </c>
      <c r="B131" s="11" t="s">
        <v>745</v>
      </c>
      <c r="C131" s="18" t="s">
        <v>218</v>
      </c>
      <c r="D131" s="18" t="s">
        <v>219</v>
      </c>
      <c r="E131" s="11" t="s">
        <v>411</v>
      </c>
      <c r="F131" s="11" t="s">
        <v>759</v>
      </c>
      <c r="G131" s="11">
        <v>5631</v>
      </c>
      <c r="H131" s="11">
        <f t="shared" si="2"/>
        <v>1000</v>
      </c>
      <c r="I131" s="11">
        <f t="shared" si="3"/>
        <v>5631000</v>
      </c>
      <c r="J131" s="11" t="s">
        <v>776</v>
      </c>
    </row>
    <row r="132" spans="1:10" x14ac:dyDescent="0.35">
      <c r="A132" s="11" t="s">
        <v>764</v>
      </c>
      <c r="B132" s="11" t="s">
        <v>748</v>
      </c>
      <c r="C132" s="18" t="s">
        <v>486</v>
      </c>
      <c r="D132" s="18" t="s">
        <v>554</v>
      </c>
      <c r="E132" s="11" t="s">
        <v>557</v>
      </c>
      <c r="F132" s="11" t="s">
        <v>749</v>
      </c>
      <c r="G132" s="11">
        <v>9631</v>
      </c>
      <c r="H132" s="11">
        <f t="shared" si="2"/>
        <v>650</v>
      </c>
      <c r="I132" s="11">
        <f t="shared" si="3"/>
        <v>6260150</v>
      </c>
      <c r="J132" s="11" t="s">
        <v>775</v>
      </c>
    </row>
    <row r="133" spans="1:10" x14ac:dyDescent="0.35">
      <c r="A133" s="11" t="s">
        <v>753</v>
      </c>
      <c r="B133" s="11" t="s">
        <v>745</v>
      </c>
      <c r="C133" s="18" t="s">
        <v>40</v>
      </c>
      <c r="D133" s="18" t="s">
        <v>75</v>
      </c>
      <c r="E133" s="11" t="s">
        <v>490</v>
      </c>
      <c r="F133" s="11" t="s">
        <v>743</v>
      </c>
      <c r="G133" s="11">
        <v>4435</v>
      </c>
      <c r="H133" s="11">
        <f t="shared" ref="H133:H196" si="4">IF(A133="Paracetamol",550,IF(A133="Fluconazole",800,IF(A133="Metformin",700,IF(A133="Diclofenac",1500,IF(A133="Dolo",450,IF(A133="Sumo",1000,IF(A133="Calpol",1600,IF(A133="Lbuprofen",250,IF(A133="Azithroycin",650,IF(A133="Amoxicillin",2000,IF(A133="Omeprazole",1440,IF(A133="Centirizin",150))))))))))))</f>
        <v>450</v>
      </c>
      <c r="I133" s="11">
        <f t="shared" ref="I133:I196" si="5">G133*H133</f>
        <v>1995750</v>
      </c>
      <c r="J133" s="11" t="s">
        <v>776</v>
      </c>
    </row>
    <row r="134" spans="1:10" x14ac:dyDescent="0.35">
      <c r="A134" s="11" t="s">
        <v>753</v>
      </c>
      <c r="B134" s="11" t="s">
        <v>742</v>
      </c>
      <c r="C134" s="18" t="s">
        <v>61</v>
      </c>
      <c r="D134" s="18" t="s">
        <v>321</v>
      </c>
      <c r="E134" s="11" t="s">
        <v>322</v>
      </c>
      <c r="F134" s="11" t="s">
        <v>754</v>
      </c>
      <c r="G134" s="11">
        <v>1886</v>
      </c>
      <c r="H134" s="11">
        <f t="shared" si="4"/>
        <v>450</v>
      </c>
      <c r="I134" s="11">
        <f t="shared" si="5"/>
        <v>848700</v>
      </c>
      <c r="J134" s="11" t="s">
        <v>775</v>
      </c>
    </row>
    <row r="135" spans="1:10" x14ac:dyDescent="0.35">
      <c r="A135" s="11" t="s">
        <v>765</v>
      </c>
      <c r="B135" s="11" t="s">
        <v>748</v>
      </c>
      <c r="C135" s="18" t="s">
        <v>317</v>
      </c>
      <c r="D135" s="18" t="s">
        <v>318</v>
      </c>
      <c r="E135" s="11" t="s">
        <v>676</v>
      </c>
      <c r="F135" s="11" t="s">
        <v>768</v>
      </c>
      <c r="G135" s="11">
        <v>3571</v>
      </c>
      <c r="H135" s="11">
        <f t="shared" si="4"/>
        <v>2000</v>
      </c>
      <c r="I135" s="11">
        <f t="shared" si="5"/>
        <v>7142000</v>
      </c>
      <c r="J135" s="11" t="s">
        <v>776</v>
      </c>
    </row>
    <row r="136" spans="1:10" ht="46.5" x14ac:dyDescent="0.35">
      <c r="A136" s="11" t="s">
        <v>755</v>
      </c>
      <c r="B136" s="11" t="s">
        <v>748</v>
      </c>
      <c r="C136" s="18" t="s">
        <v>89</v>
      </c>
      <c r="D136" s="18" t="s">
        <v>90</v>
      </c>
      <c r="E136" s="11" t="s">
        <v>512</v>
      </c>
      <c r="F136" s="11" t="s">
        <v>749</v>
      </c>
      <c r="G136" s="11">
        <v>7683</v>
      </c>
      <c r="H136" s="11">
        <f t="shared" si="4"/>
        <v>1000</v>
      </c>
      <c r="I136" s="11">
        <f t="shared" si="5"/>
        <v>7683000</v>
      </c>
      <c r="J136" s="11" t="s">
        <v>776</v>
      </c>
    </row>
    <row r="137" spans="1:10" x14ac:dyDescent="0.35">
      <c r="A137" s="11" t="s">
        <v>741</v>
      </c>
      <c r="B137" s="11" t="s">
        <v>742</v>
      </c>
      <c r="C137" s="18" t="s">
        <v>40</v>
      </c>
      <c r="D137" s="18" t="s">
        <v>84</v>
      </c>
      <c r="E137" s="11" t="s">
        <v>205</v>
      </c>
      <c r="F137" s="11" t="s">
        <v>754</v>
      </c>
      <c r="G137" s="11">
        <v>3541</v>
      </c>
      <c r="H137" s="11">
        <f t="shared" si="4"/>
        <v>550</v>
      </c>
      <c r="I137" s="11">
        <f t="shared" si="5"/>
        <v>1947550</v>
      </c>
      <c r="J137" s="11" t="s">
        <v>775</v>
      </c>
    </row>
    <row r="138" spans="1:10" ht="46.5" x14ac:dyDescent="0.35">
      <c r="A138" s="11" t="s">
        <v>755</v>
      </c>
      <c r="B138" s="11" t="s">
        <v>748</v>
      </c>
      <c r="C138" s="18" t="s">
        <v>89</v>
      </c>
      <c r="D138" s="18" t="s">
        <v>90</v>
      </c>
      <c r="E138" s="11" t="s">
        <v>608</v>
      </c>
      <c r="F138" s="11" t="s">
        <v>754</v>
      </c>
      <c r="G138" s="11">
        <v>8576</v>
      </c>
      <c r="H138" s="11">
        <f t="shared" si="4"/>
        <v>1000</v>
      </c>
      <c r="I138" s="11">
        <f t="shared" si="5"/>
        <v>8576000</v>
      </c>
      <c r="J138" s="11" t="s">
        <v>775</v>
      </c>
    </row>
    <row r="139" spans="1:10" x14ac:dyDescent="0.35">
      <c r="A139" s="11" t="s">
        <v>744</v>
      </c>
      <c r="B139" s="11" t="s">
        <v>745</v>
      </c>
      <c r="C139" s="18" t="s">
        <v>9</v>
      </c>
      <c r="D139" s="18" t="s">
        <v>311</v>
      </c>
      <c r="E139" s="11" t="s">
        <v>314</v>
      </c>
      <c r="F139" s="11" t="s">
        <v>767</v>
      </c>
      <c r="G139" s="11">
        <v>3743</v>
      </c>
      <c r="H139" s="11">
        <f t="shared" si="4"/>
        <v>800</v>
      </c>
      <c r="I139" s="11">
        <f t="shared" si="5"/>
        <v>2994400</v>
      </c>
      <c r="J139" s="11" t="s">
        <v>776</v>
      </c>
    </row>
    <row r="140" spans="1:10" ht="46.5" x14ac:dyDescent="0.35">
      <c r="A140" s="11" t="s">
        <v>755</v>
      </c>
      <c r="B140" s="11" t="s">
        <v>745</v>
      </c>
      <c r="C140" s="18" t="s">
        <v>61</v>
      </c>
      <c r="D140" s="18" t="s">
        <v>297</v>
      </c>
      <c r="E140" s="11" t="s">
        <v>298</v>
      </c>
      <c r="F140" s="11" t="s">
        <v>757</v>
      </c>
      <c r="G140" s="11">
        <v>8509</v>
      </c>
      <c r="H140" s="11">
        <f t="shared" si="4"/>
        <v>1000</v>
      </c>
      <c r="I140" s="11">
        <f t="shared" si="5"/>
        <v>8509000</v>
      </c>
      <c r="J140" s="11" t="s">
        <v>776</v>
      </c>
    </row>
    <row r="141" spans="1:10" x14ac:dyDescent="0.35">
      <c r="A141" s="11" t="s">
        <v>750</v>
      </c>
      <c r="B141" s="11" t="s">
        <v>745</v>
      </c>
      <c r="C141" s="18" t="s">
        <v>12</v>
      </c>
      <c r="D141" s="18" t="s">
        <v>117</v>
      </c>
      <c r="E141" s="11" t="s">
        <v>493</v>
      </c>
      <c r="F141" s="11" t="s">
        <v>752</v>
      </c>
      <c r="G141" s="11">
        <v>7416</v>
      </c>
      <c r="H141" s="11">
        <f t="shared" si="4"/>
        <v>1500</v>
      </c>
      <c r="I141" s="11">
        <f t="shared" si="5"/>
        <v>11124000</v>
      </c>
      <c r="J141" s="11" t="s">
        <v>776</v>
      </c>
    </row>
    <row r="142" spans="1:10" x14ac:dyDescent="0.35">
      <c r="A142" s="11" t="s">
        <v>766</v>
      </c>
      <c r="B142" s="11" t="s">
        <v>742</v>
      </c>
      <c r="C142" s="18" t="s">
        <v>40</v>
      </c>
      <c r="D142" s="18" t="s">
        <v>329</v>
      </c>
      <c r="E142" s="11" t="s">
        <v>677</v>
      </c>
      <c r="F142" s="11" t="s">
        <v>743</v>
      </c>
      <c r="G142" s="11">
        <v>6895</v>
      </c>
      <c r="H142" s="11">
        <f t="shared" si="4"/>
        <v>1440</v>
      </c>
      <c r="I142" s="11">
        <f t="shared" si="5"/>
        <v>9928800</v>
      </c>
      <c r="J142" s="11" t="s">
        <v>776</v>
      </c>
    </row>
    <row r="143" spans="1:10" x14ac:dyDescent="0.35">
      <c r="A143" s="11" t="s">
        <v>760</v>
      </c>
      <c r="B143" s="11" t="s">
        <v>748</v>
      </c>
      <c r="C143" s="18" t="s">
        <v>12</v>
      </c>
      <c r="D143" s="18" t="s">
        <v>541</v>
      </c>
      <c r="E143" s="11" t="s">
        <v>542</v>
      </c>
      <c r="F143" s="11" t="s">
        <v>749</v>
      </c>
      <c r="G143" s="11">
        <v>9235</v>
      </c>
      <c r="H143" s="11">
        <f t="shared" si="4"/>
        <v>1600</v>
      </c>
      <c r="I143" s="11">
        <f t="shared" si="5"/>
        <v>14776000</v>
      </c>
      <c r="J143" s="11" t="s">
        <v>776</v>
      </c>
    </row>
    <row r="144" spans="1:10" x14ac:dyDescent="0.35">
      <c r="A144" s="11" t="s">
        <v>765</v>
      </c>
      <c r="B144" s="11" t="s">
        <v>748</v>
      </c>
      <c r="C144" s="18" t="s">
        <v>12</v>
      </c>
      <c r="D144" s="18" t="s">
        <v>433</v>
      </c>
      <c r="E144" s="11" t="s">
        <v>434</v>
      </c>
      <c r="F144" s="11" t="s">
        <v>763</v>
      </c>
      <c r="G144" s="11">
        <v>1421</v>
      </c>
      <c r="H144" s="11">
        <f t="shared" si="4"/>
        <v>2000</v>
      </c>
      <c r="I144" s="11">
        <f t="shared" si="5"/>
        <v>2842000</v>
      </c>
      <c r="J144" s="11" t="s">
        <v>775</v>
      </c>
    </row>
    <row r="145" spans="1:10" x14ac:dyDescent="0.35">
      <c r="A145" s="11" t="s">
        <v>765</v>
      </c>
      <c r="B145" s="11" t="s">
        <v>748</v>
      </c>
      <c r="C145" s="18" t="s">
        <v>65</v>
      </c>
      <c r="D145" s="18" t="s">
        <v>309</v>
      </c>
      <c r="E145" s="11" t="s">
        <v>310</v>
      </c>
      <c r="F145" s="11" t="s">
        <v>763</v>
      </c>
      <c r="G145" s="11">
        <v>4076</v>
      </c>
      <c r="H145" s="11">
        <f t="shared" si="4"/>
        <v>2000</v>
      </c>
      <c r="I145" s="11">
        <f t="shared" si="5"/>
        <v>8152000</v>
      </c>
      <c r="J145" s="11" t="s">
        <v>776</v>
      </c>
    </row>
    <row r="146" spans="1:10" x14ac:dyDescent="0.35">
      <c r="A146" s="11" t="s">
        <v>758</v>
      </c>
      <c r="B146" s="11" t="s">
        <v>751</v>
      </c>
      <c r="C146" s="18" t="s">
        <v>12</v>
      </c>
      <c r="D146" s="18" t="s">
        <v>30</v>
      </c>
      <c r="E146" s="11" t="s">
        <v>31</v>
      </c>
      <c r="F146" s="11" t="s">
        <v>756</v>
      </c>
      <c r="G146" s="11">
        <v>6196</v>
      </c>
      <c r="H146" s="11">
        <f t="shared" si="4"/>
        <v>150</v>
      </c>
      <c r="I146" s="11">
        <f t="shared" si="5"/>
        <v>929400</v>
      </c>
      <c r="J146" s="11" t="s">
        <v>776</v>
      </c>
    </row>
    <row r="147" spans="1:10" x14ac:dyDescent="0.35">
      <c r="A147" s="11" t="s">
        <v>747</v>
      </c>
      <c r="B147" s="11" t="s">
        <v>751</v>
      </c>
      <c r="C147" s="18" t="s">
        <v>12</v>
      </c>
      <c r="D147" s="18" t="s">
        <v>117</v>
      </c>
      <c r="E147" s="11" t="s">
        <v>118</v>
      </c>
      <c r="F147" s="11" t="s">
        <v>768</v>
      </c>
      <c r="G147" s="11">
        <v>5196</v>
      </c>
      <c r="H147" s="11">
        <f t="shared" si="4"/>
        <v>700</v>
      </c>
      <c r="I147" s="11">
        <f t="shared" si="5"/>
        <v>3637200</v>
      </c>
      <c r="J147" s="11" t="s">
        <v>776</v>
      </c>
    </row>
    <row r="148" spans="1:10" x14ac:dyDescent="0.35">
      <c r="A148" s="11" t="s">
        <v>750</v>
      </c>
      <c r="B148" s="11" t="s">
        <v>745</v>
      </c>
      <c r="C148" s="18" t="s">
        <v>27</v>
      </c>
      <c r="D148" s="18" t="s">
        <v>28</v>
      </c>
      <c r="E148" s="11" t="s">
        <v>236</v>
      </c>
      <c r="F148" s="11" t="s">
        <v>749</v>
      </c>
      <c r="G148" s="11">
        <v>7120</v>
      </c>
      <c r="H148" s="11">
        <f t="shared" si="4"/>
        <v>1500</v>
      </c>
      <c r="I148" s="11">
        <f t="shared" si="5"/>
        <v>10680000</v>
      </c>
      <c r="J148" s="11" t="s">
        <v>775</v>
      </c>
    </row>
    <row r="149" spans="1:10" x14ac:dyDescent="0.35">
      <c r="A149" s="11" t="s">
        <v>758</v>
      </c>
      <c r="B149" s="11" t="s">
        <v>745</v>
      </c>
      <c r="C149" s="18" t="s">
        <v>12</v>
      </c>
      <c r="D149" s="18" t="s">
        <v>22</v>
      </c>
      <c r="E149" s="11" t="s">
        <v>93</v>
      </c>
      <c r="F149" s="11" t="s">
        <v>746</v>
      </c>
      <c r="G149" s="11">
        <v>3158</v>
      </c>
      <c r="H149" s="11">
        <f t="shared" si="4"/>
        <v>150</v>
      </c>
      <c r="I149" s="11">
        <f t="shared" si="5"/>
        <v>473700</v>
      </c>
      <c r="J149" s="11" t="s">
        <v>776</v>
      </c>
    </row>
    <row r="150" spans="1:10" x14ac:dyDescent="0.35">
      <c r="A150" s="11" t="s">
        <v>747</v>
      </c>
      <c r="B150" s="11" t="s">
        <v>742</v>
      </c>
      <c r="C150" s="18" t="s">
        <v>24</v>
      </c>
      <c r="D150" s="18" t="s">
        <v>25</v>
      </c>
      <c r="E150" s="11" t="s">
        <v>26</v>
      </c>
      <c r="F150" s="11" t="s">
        <v>756</v>
      </c>
      <c r="G150" s="11">
        <v>1486</v>
      </c>
      <c r="H150" s="11">
        <f t="shared" si="4"/>
        <v>700</v>
      </c>
      <c r="I150" s="11">
        <f t="shared" si="5"/>
        <v>1040200</v>
      </c>
      <c r="J150" s="11" t="s">
        <v>775</v>
      </c>
    </row>
    <row r="151" spans="1:10" x14ac:dyDescent="0.35">
      <c r="A151" s="11" t="s">
        <v>755</v>
      </c>
      <c r="B151" s="11" t="s">
        <v>745</v>
      </c>
      <c r="C151" s="18" t="s">
        <v>12</v>
      </c>
      <c r="D151" s="18" t="s">
        <v>482</v>
      </c>
      <c r="E151" s="11" t="s">
        <v>483</v>
      </c>
      <c r="F151" s="11" t="s">
        <v>743</v>
      </c>
      <c r="G151" s="11">
        <v>9893</v>
      </c>
      <c r="H151" s="11">
        <f t="shared" si="4"/>
        <v>1000</v>
      </c>
      <c r="I151" s="11">
        <f t="shared" si="5"/>
        <v>9893000</v>
      </c>
      <c r="J151" s="11" t="s">
        <v>775</v>
      </c>
    </row>
    <row r="152" spans="1:10" x14ac:dyDescent="0.35">
      <c r="A152" s="11" t="s">
        <v>758</v>
      </c>
      <c r="B152" s="11" t="s">
        <v>751</v>
      </c>
      <c r="C152" s="18" t="s">
        <v>259</v>
      </c>
      <c r="D152" s="18" t="s">
        <v>613</v>
      </c>
      <c r="E152" s="11" t="s">
        <v>614</v>
      </c>
      <c r="F152" s="11" t="s">
        <v>743</v>
      </c>
      <c r="G152" s="11">
        <v>1255</v>
      </c>
      <c r="H152" s="11">
        <f t="shared" si="4"/>
        <v>150</v>
      </c>
      <c r="I152" s="11">
        <f t="shared" si="5"/>
        <v>188250</v>
      </c>
      <c r="J152" s="11" t="s">
        <v>776</v>
      </c>
    </row>
    <row r="153" spans="1:10" ht="46.5" x14ac:dyDescent="0.35">
      <c r="A153" s="11" t="s">
        <v>758</v>
      </c>
      <c r="B153" s="11" t="s">
        <v>742</v>
      </c>
      <c r="C153" s="18" t="s">
        <v>12</v>
      </c>
      <c r="D153" s="18" t="s">
        <v>179</v>
      </c>
      <c r="E153" s="11" t="s">
        <v>180</v>
      </c>
      <c r="F153" s="11" t="s">
        <v>768</v>
      </c>
      <c r="G153" s="11">
        <v>8199</v>
      </c>
      <c r="H153" s="11">
        <f t="shared" si="4"/>
        <v>150</v>
      </c>
      <c r="I153" s="11">
        <f t="shared" si="5"/>
        <v>1229850</v>
      </c>
      <c r="J153" s="11" t="s">
        <v>776</v>
      </c>
    </row>
    <row r="154" spans="1:10" x14ac:dyDescent="0.35">
      <c r="A154" s="11" t="s">
        <v>750</v>
      </c>
      <c r="B154" s="11" t="s">
        <v>742</v>
      </c>
      <c r="C154" s="18" t="s">
        <v>12</v>
      </c>
      <c r="D154" s="18" t="s">
        <v>22</v>
      </c>
      <c r="E154" s="11" t="s">
        <v>383</v>
      </c>
      <c r="F154" s="11" t="s">
        <v>767</v>
      </c>
      <c r="G154" s="11">
        <v>8439</v>
      </c>
      <c r="H154" s="11">
        <f t="shared" si="4"/>
        <v>1500</v>
      </c>
      <c r="I154" s="11">
        <f t="shared" si="5"/>
        <v>12658500</v>
      </c>
      <c r="J154" s="11" t="s">
        <v>776</v>
      </c>
    </row>
    <row r="155" spans="1:10" x14ac:dyDescent="0.35">
      <c r="A155" s="11" t="s">
        <v>760</v>
      </c>
      <c r="B155" s="11" t="s">
        <v>748</v>
      </c>
      <c r="C155" s="18" t="s">
        <v>206</v>
      </c>
      <c r="D155" s="18" t="s">
        <v>207</v>
      </c>
      <c r="E155" s="11" t="s">
        <v>637</v>
      </c>
      <c r="F155" s="11" t="s">
        <v>749</v>
      </c>
      <c r="G155" s="11">
        <v>7647</v>
      </c>
      <c r="H155" s="11">
        <f t="shared" si="4"/>
        <v>1600</v>
      </c>
      <c r="I155" s="11">
        <f t="shared" si="5"/>
        <v>12235200</v>
      </c>
      <c r="J155" s="11" t="s">
        <v>776</v>
      </c>
    </row>
    <row r="156" spans="1:10" x14ac:dyDescent="0.35">
      <c r="A156" s="11" t="s">
        <v>760</v>
      </c>
      <c r="B156" s="11" t="s">
        <v>748</v>
      </c>
      <c r="C156" s="18" t="s">
        <v>486</v>
      </c>
      <c r="D156" s="18" t="s">
        <v>554</v>
      </c>
      <c r="E156" s="11" t="s">
        <v>573</v>
      </c>
      <c r="F156" s="11" t="s">
        <v>749</v>
      </c>
      <c r="G156" s="11">
        <v>2235</v>
      </c>
      <c r="H156" s="11">
        <f t="shared" si="4"/>
        <v>1600</v>
      </c>
      <c r="I156" s="11">
        <f t="shared" si="5"/>
        <v>3576000</v>
      </c>
      <c r="J156" s="11" t="s">
        <v>776</v>
      </c>
    </row>
    <row r="157" spans="1:10" ht="46.5" x14ac:dyDescent="0.35">
      <c r="A157" s="11" t="s">
        <v>755</v>
      </c>
      <c r="B157" s="11" t="s">
        <v>745</v>
      </c>
      <c r="C157" s="18" t="s">
        <v>65</v>
      </c>
      <c r="D157" s="18" t="s">
        <v>577</v>
      </c>
      <c r="E157" s="11" t="s">
        <v>578</v>
      </c>
      <c r="F157" s="11" t="s">
        <v>743</v>
      </c>
      <c r="G157" s="11">
        <v>7750</v>
      </c>
      <c r="H157" s="11">
        <f t="shared" si="4"/>
        <v>1000</v>
      </c>
      <c r="I157" s="11">
        <f t="shared" si="5"/>
        <v>7750000</v>
      </c>
      <c r="J157" s="11" t="s">
        <v>775</v>
      </c>
    </row>
    <row r="158" spans="1:10" x14ac:dyDescent="0.35">
      <c r="A158" s="11" t="s">
        <v>750</v>
      </c>
      <c r="B158" s="11" t="s">
        <v>748</v>
      </c>
      <c r="C158" s="18" t="s">
        <v>61</v>
      </c>
      <c r="D158" s="18" t="s">
        <v>361</v>
      </c>
      <c r="E158" s="11" t="s">
        <v>362</v>
      </c>
      <c r="F158" s="11" t="s">
        <v>759</v>
      </c>
      <c r="G158" s="11">
        <v>9039</v>
      </c>
      <c r="H158" s="11">
        <f t="shared" si="4"/>
        <v>1500</v>
      </c>
      <c r="I158" s="11">
        <f t="shared" si="5"/>
        <v>13558500</v>
      </c>
      <c r="J158" s="11" t="s">
        <v>776</v>
      </c>
    </row>
    <row r="159" spans="1:10" x14ac:dyDescent="0.35">
      <c r="A159" s="11" t="s">
        <v>753</v>
      </c>
      <c r="B159" s="11" t="s">
        <v>751</v>
      </c>
      <c r="C159" s="18" t="s">
        <v>40</v>
      </c>
      <c r="D159" s="18" t="s">
        <v>380</v>
      </c>
      <c r="E159" s="11" t="s">
        <v>381</v>
      </c>
      <c r="F159" s="11" t="s">
        <v>756</v>
      </c>
      <c r="G159" s="11">
        <v>7402</v>
      </c>
      <c r="H159" s="11">
        <f t="shared" si="4"/>
        <v>450</v>
      </c>
      <c r="I159" s="11">
        <f t="shared" si="5"/>
        <v>3330900</v>
      </c>
      <c r="J159" s="11" t="s">
        <v>776</v>
      </c>
    </row>
    <row r="160" spans="1:10" x14ac:dyDescent="0.35">
      <c r="A160" s="11" t="s">
        <v>764</v>
      </c>
      <c r="B160" s="11" t="s">
        <v>748</v>
      </c>
      <c r="C160" s="18" t="s">
        <v>40</v>
      </c>
      <c r="D160" s="18" t="s">
        <v>254</v>
      </c>
      <c r="E160" s="11" t="s">
        <v>450</v>
      </c>
      <c r="F160" s="11" t="s">
        <v>754</v>
      </c>
      <c r="G160" s="11">
        <v>1699</v>
      </c>
      <c r="H160" s="11">
        <f t="shared" si="4"/>
        <v>650</v>
      </c>
      <c r="I160" s="11">
        <f t="shared" si="5"/>
        <v>1104350</v>
      </c>
      <c r="J160" s="11" t="s">
        <v>776</v>
      </c>
    </row>
    <row r="161" spans="1:10" x14ac:dyDescent="0.35">
      <c r="A161" s="11" t="s">
        <v>760</v>
      </c>
      <c r="B161" s="11" t="s">
        <v>748</v>
      </c>
      <c r="C161" s="18" t="s">
        <v>128</v>
      </c>
      <c r="D161" s="18" t="s">
        <v>129</v>
      </c>
      <c r="E161" s="11" t="s">
        <v>549</v>
      </c>
      <c r="F161" s="11" t="s">
        <v>768</v>
      </c>
      <c r="G161" s="11">
        <v>3021</v>
      </c>
      <c r="H161" s="11">
        <f t="shared" si="4"/>
        <v>1600</v>
      </c>
      <c r="I161" s="11">
        <f t="shared" si="5"/>
        <v>4833600</v>
      </c>
      <c r="J161" s="11" t="s">
        <v>775</v>
      </c>
    </row>
    <row r="162" spans="1:10" x14ac:dyDescent="0.35">
      <c r="A162" s="11" t="s">
        <v>758</v>
      </c>
      <c r="B162" s="11" t="s">
        <v>745</v>
      </c>
      <c r="C162" s="18" t="s">
        <v>259</v>
      </c>
      <c r="D162" s="18" t="s">
        <v>613</v>
      </c>
      <c r="E162" s="11" t="s">
        <v>638</v>
      </c>
      <c r="F162" s="11" t="s">
        <v>767</v>
      </c>
      <c r="G162" s="11">
        <v>2189</v>
      </c>
      <c r="H162" s="11">
        <f t="shared" si="4"/>
        <v>150</v>
      </c>
      <c r="I162" s="11">
        <f t="shared" si="5"/>
        <v>328350</v>
      </c>
      <c r="J162" s="11" t="s">
        <v>775</v>
      </c>
    </row>
    <row r="163" spans="1:10" x14ac:dyDescent="0.35">
      <c r="A163" s="11" t="s">
        <v>765</v>
      </c>
      <c r="B163" s="11" t="s">
        <v>745</v>
      </c>
      <c r="C163" s="18" t="s">
        <v>12</v>
      </c>
      <c r="D163" s="18" t="s">
        <v>305</v>
      </c>
      <c r="E163" s="11" t="s">
        <v>306</v>
      </c>
      <c r="F163" s="11" t="s">
        <v>743</v>
      </c>
      <c r="G163" s="11">
        <v>7496</v>
      </c>
      <c r="H163" s="11">
        <f t="shared" si="4"/>
        <v>2000</v>
      </c>
      <c r="I163" s="11">
        <f t="shared" si="5"/>
        <v>14992000</v>
      </c>
      <c r="J163" s="11" t="s">
        <v>776</v>
      </c>
    </row>
    <row r="164" spans="1:10" x14ac:dyDescent="0.35">
      <c r="A164" s="11" t="s">
        <v>744</v>
      </c>
      <c r="B164" s="11" t="s">
        <v>742</v>
      </c>
      <c r="C164" s="18" t="s">
        <v>12</v>
      </c>
      <c r="D164" s="18" t="s">
        <v>195</v>
      </c>
      <c r="E164" s="11" t="s">
        <v>568</v>
      </c>
      <c r="F164" s="11" t="s">
        <v>752</v>
      </c>
      <c r="G164" s="11">
        <v>3871</v>
      </c>
      <c r="H164" s="11">
        <f t="shared" si="4"/>
        <v>800</v>
      </c>
      <c r="I164" s="11">
        <f t="shared" si="5"/>
        <v>3096800</v>
      </c>
      <c r="J164" s="11" t="s">
        <v>775</v>
      </c>
    </row>
    <row r="165" spans="1:10" ht="46.5" x14ac:dyDescent="0.35">
      <c r="A165" s="11" t="s">
        <v>747</v>
      </c>
      <c r="B165" s="11" t="s">
        <v>751</v>
      </c>
      <c r="C165" s="18" t="s">
        <v>65</v>
      </c>
      <c r="D165" s="18" t="s">
        <v>184</v>
      </c>
      <c r="E165" s="11" t="s">
        <v>185</v>
      </c>
      <c r="F165" s="11" t="s">
        <v>754</v>
      </c>
      <c r="G165" s="11">
        <v>4624</v>
      </c>
      <c r="H165" s="11">
        <f t="shared" si="4"/>
        <v>700</v>
      </c>
      <c r="I165" s="11">
        <f t="shared" si="5"/>
        <v>3236800</v>
      </c>
      <c r="J165" s="11" t="s">
        <v>776</v>
      </c>
    </row>
    <row r="166" spans="1:10" x14ac:dyDescent="0.35">
      <c r="A166" s="11" t="s">
        <v>758</v>
      </c>
      <c r="B166" s="11" t="s">
        <v>748</v>
      </c>
      <c r="C166" s="18" t="s">
        <v>61</v>
      </c>
      <c r="D166" s="18" t="s">
        <v>361</v>
      </c>
      <c r="E166" s="11" t="s">
        <v>628</v>
      </c>
      <c r="F166" s="11" t="s">
        <v>767</v>
      </c>
      <c r="G166" s="11">
        <v>4750</v>
      </c>
      <c r="H166" s="11">
        <f t="shared" si="4"/>
        <v>150</v>
      </c>
      <c r="I166" s="11">
        <f t="shared" si="5"/>
        <v>712500</v>
      </c>
      <c r="J166" s="11" t="s">
        <v>776</v>
      </c>
    </row>
    <row r="167" spans="1:10" x14ac:dyDescent="0.35">
      <c r="A167" s="11" t="s">
        <v>744</v>
      </c>
      <c r="B167" s="11" t="s">
        <v>748</v>
      </c>
      <c r="C167" s="18" t="s">
        <v>12</v>
      </c>
      <c r="D167" s="18" t="s">
        <v>331</v>
      </c>
      <c r="E167" s="11" t="s">
        <v>567</v>
      </c>
      <c r="F167" s="11" t="s">
        <v>757</v>
      </c>
      <c r="G167" s="11">
        <v>4157</v>
      </c>
      <c r="H167" s="11">
        <f t="shared" si="4"/>
        <v>800</v>
      </c>
      <c r="I167" s="11">
        <f t="shared" si="5"/>
        <v>3325600</v>
      </c>
      <c r="J167" s="11" t="s">
        <v>775</v>
      </c>
    </row>
    <row r="168" spans="1:10" x14ac:dyDescent="0.35">
      <c r="A168" s="11" t="s">
        <v>755</v>
      </c>
      <c r="B168" s="11" t="s">
        <v>745</v>
      </c>
      <c r="C168" s="18" t="s">
        <v>12</v>
      </c>
      <c r="D168" s="18" t="s">
        <v>225</v>
      </c>
      <c r="E168" s="11" t="s">
        <v>226</v>
      </c>
      <c r="F168" s="11" t="s">
        <v>759</v>
      </c>
      <c r="G168" s="11">
        <v>8495</v>
      </c>
      <c r="H168" s="11">
        <f t="shared" si="4"/>
        <v>1000</v>
      </c>
      <c r="I168" s="11">
        <f t="shared" si="5"/>
        <v>8495000</v>
      </c>
      <c r="J168" s="11" t="s">
        <v>776</v>
      </c>
    </row>
    <row r="169" spans="1:10" x14ac:dyDescent="0.35">
      <c r="A169" s="11" t="s">
        <v>764</v>
      </c>
      <c r="B169" s="11" t="s">
        <v>751</v>
      </c>
      <c r="C169" s="18" t="s">
        <v>128</v>
      </c>
      <c r="D169" s="18" t="s">
        <v>129</v>
      </c>
      <c r="E169" s="11" t="s">
        <v>316</v>
      </c>
      <c r="F169" s="11" t="s">
        <v>768</v>
      </c>
      <c r="G169" s="11">
        <v>5174</v>
      </c>
      <c r="H169" s="11">
        <f t="shared" si="4"/>
        <v>650</v>
      </c>
      <c r="I169" s="11">
        <f t="shared" si="5"/>
        <v>3363100</v>
      </c>
      <c r="J169" s="11" t="s">
        <v>775</v>
      </c>
    </row>
    <row r="170" spans="1:10" x14ac:dyDescent="0.35">
      <c r="A170" s="11" t="s">
        <v>747</v>
      </c>
      <c r="B170" s="11" t="s">
        <v>742</v>
      </c>
      <c r="C170" s="18" t="s">
        <v>12</v>
      </c>
      <c r="D170" s="18" t="s">
        <v>344</v>
      </c>
      <c r="E170" s="11" t="s">
        <v>510</v>
      </c>
      <c r="F170" s="11" t="s">
        <v>749</v>
      </c>
      <c r="G170" s="11">
        <v>2970</v>
      </c>
      <c r="H170" s="11">
        <f t="shared" si="4"/>
        <v>700</v>
      </c>
      <c r="I170" s="11">
        <f t="shared" si="5"/>
        <v>2079000</v>
      </c>
      <c r="J170" s="11" t="s">
        <v>776</v>
      </c>
    </row>
    <row r="171" spans="1:10" x14ac:dyDescent="0.35">
      <c r="A171" s="11" t="s">
        <v>766</v>
      </c>
      <c r="B171" s="11" t="s">
        <v>748</v>
      </c>
      <c r="C171" s="18" t="s">
        <v>40</v>
      </c>
      <c r="D171" s="18" t="s">
        <v>97</v>
      </c>
      <c r="E171" s="11" t="s">
        <v>671</v>
      </c>
      <c r="F171" s="11" t="s">
        <v>757</v>
      </c>
      <c r="G171" s="11">
        <v>1335</v>
      </c>
      <c r="H171" s="11">
        <f t="shared" si="4"/>
        <v>1440</v>
      </c>
      <c r="I171" s="11">
        <f t="shared" si="5"/>
        <v>1922400</v>
      </c>
      <c r="J171" s="11" t="s">
        <v>776</v>
      </c>
    </row>
    <row r="172" spans="1:10" x14ac:dyDescent="0.35">
      <c r="A172" s="11" t="s">
        <v>764</v>
      </c>
      <c r="B172" s="11" t="s">
        <v>748</v>
      </c>
      <c r="C172" s="18" t="s">
        <v>486</v>
      </c>
      <c r="D172" s="18" t="s">
        <v>554</v>
      </c>
      <c r="E172" s="11" t="s">
        <v>556</v>
      </c>
      <c r="F172" s="11" t="s">
        <v>754</v>
      </c>
      <c r="G172" s="11">
        <v>3285</v>
      </c>
      <c r="H172" s="11">
        <f t="shared" si="4"/>
        <v>650</v>
      </c>
      <c r="I172" s="11">
        <f t="shared" si="5"/>
        <v>2135250</v>
      </c>
      <c r="J172" s="11" t="s">
        <v>775</v>
      </c>
    </row>
    <row r="173" spans="1:10" x14ac:dyDescent="0.35">
      <c r="A173" s="11" t="s">
        <v>766</v>
      </c>
      <c r="B173" s="11" t="s">
        <v>742</v>
      </c>
      <c r="C173" s="18" t="s">
        <v>40</v>
      </c>
      <c r="D173" s="18" t="s">
        <v>59</v>
      </c>
      <c r="E173" s="11" t="s">
        <v>374</v>
      </c>
      <c r="F173" s="11" t="s">
        <v>768</v>
      </c>
      <c r="G173" s="11">
        <v>5339</v>
      </c>
      <c r="H173" s="11">
        <f t="shared" si="4"/>
        <v>1440</v>
      </c>
      <c r="I173" s="11">
        <f t="shared" si="5"/>
        <v>7688160</v>
      </c>
      <c r="J173" s="11" t="s">
        <v>776</v>
      </c>
    </row>
    <row r="174" spans="1:10" ht="46.5" x14ac:dyDescent="0.35">
      <c r="A174" s="11" t="s">
        <v>764</v>
      </c>
      <c r="B174" s="11" t="s">
        <v>742</v>
      </c>
      <c r="C174" s="18" t="s">
        <v>12</v>
      </c>
      <c r="D174" s="18" t="s">
        <v>707</v>
      </c>
      <c r="E174" s="11" t="s">
        <v>708</v>
      </c>
      <c r="F174" s="11" t="s">
        <v>757</v>
      </c>
      <c r="G174" s="11">
        <v>5215</v>
      </c>
      <c r="H174" s="11">
        <f t="shared" si="4"/>
        <v>650</v>
      </c>
      <c r="I174" s="11">
        <f t="shared" si="5"/>
        <v>3389750</v>
      </c>
      <c r="J174" s="11" t="s">
        <v>776</v>
      </c>
    </row>
    <row r="175" spans="1:10" x14ac:dyDescent="0.35">
      <c r="A175" s="11" t="s">
        <v>766</v>
      </c>
      <c r="B175" s="11" t="s">
        <v>748</v>
      </c>
      <c r="C175" s="18" t="s">
        <v>12</v>
      </c>
      <c r="D175" s="18" t="s">
        <v>292</v>
      </c>
      <c r="E175" s="11" t="s">
        <v>688</v>
      </c>
      <c r="F175" s="11" t="s">
        <v>768</v>
      </c>
      <c r="G175" s="11">
        <v>8993</v>
      </c>
      <c r="H175" s="11">
        <f t="shared" si="4"/>
        <v>1440</v>
      </c>
      <c r="I175" s="11">
        <f t="shared" si="5"/>
        <v>12949920</v>
      </c>
      <c r="J175" s="11" t="s">
        <v>775</v>
      </c>
    </row>
    <row r="176" spans="1:10" x14ac:dyDescent="0.35">
      <c r="A176" s="11" t="s">
        <v>766</v>
      </c>
      <c r="B176" s="11" t="s">
        <v>751</v>
      </c>
      <c r="C176" s="18" t="s">
        <v>86</v>
      </c>
      <c r="D176" s="18" t="s">
        <v>87</v>
      </c>
      <c r="E176" s="11" t="s">
        <v>88</v>
      </c>
      <c r="F176" s="11" t="s">
        <v>743</v>
      </c>
      <c r="G176" s="11">
        <v>9714</v>
      </c>
      <c r="H176" s="11">
        <f t="shared" si="4"/>
        <v>1440</v>
      </c>
      <c r="I176" s="11">
        <f t="shared" si="5"/>
        <v>13988160</v>
      </c>
      <c r="J176" s="11" t="s">
        <v>776</v>
      </c>
    </row>
    <row r="177" spans="1:10" ht="46.5" x14ac:dyDescent="0.35">
      <c r="A177" s="11" t="s">
        <v>747</v>
      </c>
      <c r="B177" s="11" t="s">
        <v>751</v>
      </c>
      <c r="C177" s="18" t="s">
        <v>89</v>
      </c>
      <c r="D177" s="18" t="s">
        <v>90</v>
      </c>
      <c r="E177" s="11" t="s">
        <v>462</v>
      </c>
      <c r="F177" s="11" t="s">
        <v>746</v>
      </c>
      <c r="G177" s="11">
        <v>5118</v>
      </c>
      <c r="H177" s="11">
        <f t="shared" si="4"/>
        <v>700</v>
      </c>
      <c r="I177" s="11">
        <f t="shared" si="5"/>
        <v>3582600</v>
      </c>
      <c r="J177" s="11" t="s">
        <v>775</v>
      </c>
    </row>
    <row r="178" spans="1:10" x14ac:dyDescent="0.35">
      <c r="A178" s="11" t="s">
        <v>753</v>
      </c>
      <c r="B178" s="11" t="s">
        <v>751</v>
      </c>
      <c r="C178" s="18" t="s">
        <v>12</v>
      </c>
      <c r="D178" s="18" t="s">
        <v>672</v>
      </c>
      <c r="E178" s="11" t="s">
        <v>673</v>
      </c>
      <c r="F178" s="11" t="s">
        <v>749</v>
      </c>
      <c r="G178" s="11">
        <v>5831</v>
      </c>
      <c r="H178" s="11">
        <f t="shared" si="4"/>
        <v>450</v>
      </c>
      <c r="I178" s="11">
        <f t="shared" si="5"/>
        <v>2623950</v>
      </c>
      <c r="J178" s="11" t="s">
        <v>776</v>
      </c>
    </row>
    <row r="179" spans="1:10" x14ac:dyDescent="0.35">
      <c r="A179" s="11" t="s">
        <v>741</v>
      </c>
      <c r="B179" s="11" t="s">
        <v>742</v>
      </c>
      <c r="C179" s="18" t="s">
        <v>81</v>
      </c>
      <c r="D179" s="18" t="s">
        <v>439</v>
      </c>
      <c r="E179" s="11" t="s">
        <v>719</v>
      </c>
      <c r="F179" s="11" t="s">
        <v>752</v>
      </c>
      <c r="G179" s="11">
        <v>4171</v>
      </c>
      <c r="H179" s="11">
        <f t="shared" si="4"/>
        <v>550</v>
      </c>
      <c r="I179" s="11">
        <f t="shared" si="5"/>
        <v>2294050</v>
      </c>
      <c r="J179" s="11" t="s">
        <v>775</v>
      </c>
    </row>
    <row r="180" spans="1:10" x14ac:dyDescent="0.35">
      <c r="A180" s="11" t="s">
        <v>760</v>
      </c>
      <c r="B180" s="11" t="s">
        <v>742</v>
      </c>
      <c r="C180" s="18" t="s">
        <v>40</v>
      </c>
      <c r="D180" s="18" t="s">
        <v>97</v>
      </c>
      <c r="E180" s="11" t="s">
        <v>464</v>
      </c>
      <c r="F180" s="11" t="s">
        <v>757</v>
      </c>
      <c r="G180" s="11">
        <v>9571</v>
      </c>
      <c r="H180" s="11">
        <f t="shared" si="4"/>
        <v>1600</v>
      </c>
      <c r="I180" s="11">
        <f t="shared" si="5"/>
        <v>15313600</v>
      </c>
      <c r="J180" s="11" t="s">
        <v>775</v>
      </c>
    </row>
    <row r="181" spans="1:10" x14ac:dyDescent="0.35">
      <c r="A181" s="11" t="s">
        <v>753</v>
      </c>
      <c r="B181" s="11" t="s">
        <v>748</v>
      </c>
      <c r="C181" s="18" t="s">
        <v>266</v>
      </c>
      <c r="D181" s="18" t="s">
        <v>267</v>
      </c>
      <c r="E181" s="11" t="s">
        <v>268</v>
      </c>
      <c r="F181" s="11" t="s">
        <v>752</v>
      </c>
      <c r="G181" s="11">
        <v>7607</v>
      </c>
      <c r="H181" s="11">
        <f t="shared" si="4"/>
        <v>450</v>
      </c>
      <c r="I181" s="11">
        <f t="shared" si="5"/>
        <v>3423150</v>
      </c>
      <c r="J181" s="11" t="s">
        <v>775</v>
      </c>
    </row>
    <row r="182" spans="1:10" x14ac:dyDescent="0.35">
      <c r="A182" s="11" t="s">
        <v>750</v>
      </c>
      <c r="B182" s="11" t="s">
        <v>748</v>
      </c>
      <c r="C182" s="18" t="s">
        <v>12</v>
      </c>
      <c r="D182" s="18" t="s">
        <v>33</v>
      </c>
      <c r="E182" s="11" t="s">
        <v>358</v>
      </c>
      <c r="F182" s="11" t="s">
        <v>746</v>
      </c>
      <c r="G182" s="11">
        <v>1117</v>
      </c>
      <c r="H182" s="11">
        <f t="shared" si="4"/>
        <v>1500</v>
      </c>
      <c r="I182" s="11">
        <f t="shared" si="5"/>
        <v>1675500</v>
      </c>
      <c r="J182" s="11" t="s">
        <v>775</v>
      </c>
    </row>
    <row r="183" spans="1:10" x14ac:dyDescent="0.35">
      <c r="A183" s="11" t="s">
        <v>747</v>
      </c>
      <c r="B183" s="11" t="s">
        <v>748</v>
      </c>
      <c r="C183" s="18" t="s">
        <v>81</v>
      </c>
      <c r="D183" s="18" t="s">
        <v>439</v>
      </c>
      <c r="E183" s="11" t="s">
        <v>440</v>
      </c>
      <c r="F183" s="11" t="s">
        <v>759</v>
      </c>
      <c r="G183" s="11">
        <v>812</v>
      </c>
      <c r="H183" s="11">
        <f t="shared" si="4"/>
        <v>700</v>
      </c>
      <c r="I183" s="11">
        <f t="shared" si="5"/>
        <v>568400</v>
      </c>
      <c r="J183" s="11" t="s">
        <v>776</v>
      </c>
    </row>
    <row r="184" spans="1:10" x14ac:dyDescent="0.35">
      <c r="A184" s="11" t="s">
        <v>760</v>
      </c>
      <c r="B184" s="11" t="s">
        <v>751</v>
      </c>
      <c r="C184" s="18" t="s">
        <v>9</v>
      </c>
      <c r="D184" s="18" t="s">
        <v>10</v>
      </c>
      <c r="E184" s="11" t="s">
        <v>564</v>
      </c>
      <c r="F184" s="11" t="s">
        <v>763</v>
      </c>
      <c r="G184" s="11">
        <v>6550</v>
      </c>
      <c r="H184" s="11">
        <f t="shared" si="4"/>
        <v>1600</v>
      </c>
      <c r="I184" s="11">
        <f t="shared" si="5"/>
        <v>10480000</v>
      </c>
      <c r="J184" s="11" t="s">
        <v>775</v>
      </c>
    </row>
    <row r="185" spans="1:10" x14ac:dyDescent="0.35">
      <c r="A185" s="11" t="s">
        <v>758</v>
      </c>
      <c r="B185" s="11" t="s">
        <v>748</v>
      </c>
      <c r="C185" s="18" t="s">
        <v>27</v>
      </c>
      <c r="D185" s="18" t="s">
        <v>28</v>
      </c>
      <c r="E185" s="11" t="s">
        <v>515</v>
      </c>
      <c r="F185" s="11" t="s">
        <v>757</v>
      </c>
      <c r="G185" s="11">
        <v>8342</v>
      </c>
      <c r="H185" s="11">
        <f t="shared" si="4"/>
        <v>150</v>
      </c>
      <c r="I185" s="11">
        <f t="shared" si="5"/>
        <v>1251300</v>
      </c>
      <c r="J185" s="11" t="s">
        <v>775</v>
      </c>
    </row>
    <row r="186" spans="1:10" x14ac:dyDescent="0.35">
      <c r="A186" s="11" t="s">
        <v>744</v>
      </c>
      <c r="B186" s="11" t="s">
        <v>751</v>
      </c>
      <c r="C186" s="18" t="s">
        <v>52</v>
      </c>
      <c r="D186" s="18" t="s">
        <v>53</v>
      </c>
      <c r="E186" s="11" t="s">
        <v>54</v>
      </c>
      <c r="F186" s="11" t="s">
        <v>743</v>
      </c>
      <c r="G186" s="11">
        <v>1293</v>
      </c>
      <c r="H186" s="11">
        <f t="shared" si="4"/>
        <v>800</v>
      </c>
      <c r="I186" s="11">
        <f t="shared" si="5"/>
        <v>1034400</v>
      </c>
      <c r="J186" s="11" t="s">
        <v>775</v>
      </c>
    </row>
    <row r="187" spans="1:10" x14ac:dyDescent="0.35">
      <c r="A187" s="11" t="s">
        <v>758</v>
      </c>
      <c r="B187" s="11" t="s">
        <v>742</v>
      </c>
      <c r="C187" s="18" t="s">
        <v>317</v>
      </c>
      <c r="D187" s="18" t="s">
        <v>318</v>
      </c>
      <c r="E187" s="11" t="s">
        <v>319</v>
      </c>
      <c r="F187" s="11" t="s">
        <v>759</v>
      </c>
      <c r="G187" s="11">
        <v>2156</v>
      </c>
      <c r="H187" s="11">
        <f t="shared" si="4"/>
        <v>150</v>
      </c>
      <c r="I187" s="11">
        <f t="shared" si="5"/>
        <v>323400</v>
      </c>
      <c r="J187" s="11" t="s">
        <v>775</v>
      </c>
    </row>
    <row r="188" spans="1:10" x14ac:dyDescent="0.35">
      <c r="A188" s="11" t="s">
        <v>760</v>
      </c>
      <c r="B188" s="11" t="s">
        <v>748</v>
      </c>
      <c r="C188" s="18" t="s">
        <v>61</v>
      </c>
      <c r="D188" s="18" t="s">
        <v>586</v>
      </c>
      <c r="E188" s="11" t="s">
        <v>717</v>
      </c>
      <c r="F188" s="11" t="s">
        <v>768</v>
      </c>
      <c r="G188" s="11">
        <v>1621</v>
      </c>
      <c r="H188" s="11">
        <f t="shared" si="4"/>
        <v>1600</v>
      </c>
      <c r="I188" s="11">
        <f t="shared" si="5"/>
        <v>2593600</v>
      </c>
      <c r="J188" s="11" t="s">
        <v>775</v>
      </c>
    </row>
    <row r="189" spans="1:10" x14ac:dyDescent="0.35">
      <c r="A189" s="11" t="s">
        <v>762</v>
      </c>
      <c r="B189" s="11" t="s">
        <v>751</v>
      </c>
      <c r="C189" s="18" t="s">
        <v>40</v>
      </c>
      <c r="D189" s="18" t="s">
        <v>59</v>
      </c>
      <c r="E189" s="11" t="s">
        <v>414</v>
      </c>
      <c r="F189" s="11" t="s">
        <v>754</v>
      </c>
      <c r="G189" s="11">
        <v>6779</v>
      </c>
      <c r="H189" s="11">
        <f t="shared" si="4"/>
        <v>250</v>
      </c>
      <c r="I189" s="11">
        <f t="shared" si="5"/>
        <v>1694750</v>
      </c>
      <c r="J189" s="11" t="s">
        <v>775</v>
      </c>
    </row>
    <row r="190" spans="1:10" x14ac:dyDescent="0.35">
      <c r="A190" s="11" t="s">
        <v>744</v>
      </c>
      <c r="B190" s="11" t="s">
        <v>745</v>
      </c>
      <c r="C190" s="18" t="s">
        <v>40</v>
      </c>
      <c r="D190" s="18" t="s">
        <v>329</v>
      </c>
      <c r="E190" s="11" t="s">
        <v>509</v>
      </c>
      <c r="F190" s="11" t="s">
        <v>767</v>
      </c>
      <c r="G190" s="11">
        <v>8552</v>
      </c>
      <c r="H190" s="11">
        <f t="shared" si="4"/>
        <v>800</v>
      </c>
      <c r="I190" s="11">
        <f t="shared" si="5"/>
        <v>6841600</v>
      </c>
      <c r="J190" s="11" t="s">
        <v>775</v>
      </c>
    </row>
    <row r="191" spans="1:10" ht="46.5" x14ac:dyDescent="0.35">
      <c r="A191" s="11" t="s">
        <v>758</v>
      </c>
      <c r="B191" s="11" t="s">
        <v>745</v>
      </c>
      <c r="C191" s="18" t="s">
        <v>128</v>
      </c>
      <c r="D191" s="18" t="s">
        <v>371</v>
      </c>
      <c r="E191" s="11" t="s">
        <v>372</v>
      </c>
      <c r="F191" s="11" t="s">
        <v>768</v>
      </c>
      <c r="G191" s="11">
        <v>9835</v>
      </c>
      <c r="H191" s="11">
        <f t="shared" si="4"/>
        <v>150</v>
      </c>
      <c r="I191" s="11">
        <f t="shared" si="5"/>
        <v>1475250</v>
      </c>
      <c r="J191" s="11" t="s">
        <v>776</v>
      </c>
    </row>
    <row r="192" spans="1:10" x14ac:dyDescent="0.35">
      <c r="A192" s="11" t="s">
        <v>758</v>
      </c>
      <c r="B192" s="11" t="s">
        <v>751</v>
      </c>
      <c r="C192" s="18" t="s">
        <v>12</v>
      </c>
      <c r="D192" s="18" t="s">
        <v>292</v>
      </c>
      <c r="E192" s="11" t="s">
        <v>496</v>
      </c>
      <c r="F192" s="11" t="s">
        <v>757</v>
      </c>
      <c r="G192" s="11">
        <v>5180</v>
      </c>
      <c r="H192" s="11">
        <f t="shared" si="4"/>
        <v>150</v>
      </c>
      <c r="I192" s="11">
        <f t="shared" si="5"/>
        <v>777000</v>
      </c>
      <c r="J192" s="11" t="s">
        <v>776</v>
      </c>
    </row>
    <row r="193" spans="1:10" x14ac:dyDescent="0.35">
      <c r="A193" s="11" t="s">
        <v>747</v>
      </c>
      <c r="B193" s="11" t="s">
        <v>751</v>
      </c>
      <c r="C193" s="18" t="s">
        <v>81</v>
      </c>
      <c r="D193" s="18" t="s">
        <v>82</v>
      </c>
      <c r="E193" s="11" t="s">
        <v>83</v>
      </c>
      <c r="F193" s="11" t="s">
        <v>763</v>
      </c>
      <c r="G193" s="11">
        <v>3684</v>
      </c>
      <c r="H193" s="11">
        <f t="shared" si="4"/>
        <v>700</v>
      </c>
      <c r="I193" s="11">
        <f t="shared" si="5"/>
        <v>2578800</v>
      </c>
      <c r="J193" s="11" t="s">
        <v>776</v>
      </c>
    </row>
    <row r="194" spans="1:10" ht="46.5" x14ac:dyDescent="0.35">
      <c r="A194" s="11" t="s">
        <v>758</v>
      </c>
      <c r="B194" s="11" t="s">
        <v>742</v>
      </c>
      <c r="C194" s="18" t="s">
        <v>89</v>
      </c>
      <c r="D194" s="18" t="s">
        <v>90</v>
      </c>
      <c r="E194" s="11" t="s">
        <v>224</v>
      </c>
      <c r="F194" s="11" t="s">
        <v>759</v>
      </c>
      <c r="G194" s="11">
        <v>863</v>
      </c>
      <c r="H194" s="11">
        <f t="shared" si="4"/>
        <v>150</v>
      </c>
      <c r="I194" s="11">
        <f t="shared" si="5"/>
        <v>129450</v>
      </c>
      <c r="J194" s="11" t="s">
        <v>776</v>
      </c>
    </row>
    <row r="195" spans="1:10" x14ac:dyDescent="0.35">
      <c r="A195" s="11" t="s">
        <v>753</v>
      </c>
      <c r="B195" s="11" t="s">
        <v>745</v>
      </c>
      <c r="C195" s="18" t="s">
        <v>40</v>
      </c>
      <c r="D195" s="18" t="s">
        <v>59</v>
      </c>
      <c r="E195" s="11" t="s">
        <v>60</v>
      </c>
      <c r="F195" s="11" t="s">
        <v>767</v>
      </c>
      <c r="G195" s="11">
        <v>1731</v>
      </c>
      <c r="H195" s="11">
        <f t="shared" si="4"/>
        <v>450</v>
      </c>
      <c r="I195" s="11">
        <f t="shared" si="5"/>
        <v>778950</v>
      </c>
      <c r="J195" s="11" t="s">
        <v>775</v>
      </c>
    </row>
    <row r="196" spans="1:10" x14ac:dyDescent="0.35">
      <c r="A196" s="11" t="s">
        <v>760</v>
      </c>
      <c r="B196" s="11" t="s">
        <v>751</v>
      </c>
      <c r="C196" s="18" t="s">
        <v>12</v>
      </c>
      <c r="D196" s="18" t="s">
        <v>581</v>
      </c>
      <c r="E196" s="11" t="s">
        <v>582</v>
      </c>
      <c r="F196" s="11" t="s">
        <v>752</v>
      </c>
      <c r="G196" s="11">
        <v>8324</v>
      </c>
      <c r="H196" s="11">
        <f t="shared" si="4"/>
        <v>1600</v>
      </c>
      <c r="I196" s="11">
        <f t="shared" si="5"/>
        <v>13318400</v>
      </c>
      <c r="J196" s="11" t="s">
        <v>776</v>
      </c>
    </row>
    <row r="197" spans="1:10" x14ac:dyDescent="0.35">
      <c r="A197" s="11" t="s">
        <v>750</v>
      </c>
      <c r="B197" s="11" t="s">
        <v>745</v>
      </c>
      <c r="C197" s="18" t="s">
        <v>9</v>
      </c>
      <c r="D197" s="18" t="s">
        <v>143</v>
      </c>
      <c r="E197" s="11" t="s">
        <v>446</v>
      </c>
      <c r="F197" s="11" t="s">
        <v>757</v>
      </c>
      <c r="G197" s="11">
        <v>9460</v>
      </c>
      <c r="H197" s="11">
        <f t="shared" ref="H197:H260" si="6">IF(A197="Paracetamol",550,IF(A197="Fluconazole",800,IF(A197="Metformin",700,IF(A197="Diclofenac",1500,IF(A197="Dolo",450,IF(A197="Sumo",1000,IF(A197="Calpol",1600,IF(A197="Lbuprofen",250,IF(A197="Azithroycin",650,IF(A197="Amoxicillin",2000,IF(A197="Omeprazole",1440,IF(A197="Centirizin",150))))))))))))</f>
        <v>1500</v>
      </c>
      <c r="I197" s="11">
        <f t="shared" ref="I197:I260" si="7">G197*H197</f>
        <v>14190000</v>
      </c>
      <c r="J197" s="11" t="s">
        <v>776</v>
      </c>
    </row>
    <row r="198" spans="1:10" x14ac:dyDescent="0.35">
      <c r="A198" s="11" t="s">
        <v>765</v>
      </c>
      <c r="B198" s="11" t="s">
        <v>751</v>
      </c>
      <c r="C198" s="18" t="s">
        <v>12</v>
      </c>
      <c r="D198" s="18" t="s">
        <v>441</v>
      </c>
      <c r="E198" s="11" t="s">
        <v>442</v>
      </c>
      <c r="F198" s="11" t="s">
        <v>761</v>
      </c>
      <c r="G198" s="11">
        <v>3419</v>
      </c>
      <c r="H198" s="11">
        <f t="shared" si="6"/>
        <v>2000</v>
      </c>
      <c r="I198" s="11">
        <f t="shared" si="7"/>
        <v>6838000</v>
      </c>
      <c r="J198" s="11" t="s">
        <v>776</v>
      </c>
    </row>
    <row r="199" spans="1:10" x14ac:dyDescent="0.35">
      <c r="A199" s="11" t="s">
        <v>741</v>
      </c>
      <c r="B199" s="11" t="s">
        <v>751</v>
      </c>
      <c r="C199" s="18" t="s">
        <v>40</v>
      </c>
      <c r="D199" s="18" t="s">
        <v>41</v>
      </c>
      <c r="E199" s="11" t="s">
        <v>42</v>
      </c>
      <c r="F199" s="11" t="s">
        <v>761</v>
      </c>
      <c r="G199" s="11">
        <v>7505</v>
      </c>
      <c r="H199" s="11">
        <f t="shared" si="6"/>
        <v>550</v>
      </c>
      <c r="I199" s="11">
        <f t="shared" si="7"/>
        <v>4127750</v>
      </c>
      <c r="J199" s="11" t="s">
        <v>775</v>
      </c>
    </row>
    <row r="200" spans="1:10" x14ac:dyDescent="0.35">
      <c r="A200" s="11" t="s">
        <v>755</v>
      </c>
      <c r="B200" s="11" t="s">
        <v>742</v>
      </c>
      <c r="C200" s="18" t="s">
        <v>12</v>
      </c>
      <c r="D200" s="18" t="s">
        <v>22</v>
      </c>
      <c r="E200" s="11" t="s">
        <v>92</v>
      </c>
      <c r="F200" s="11" t="s">
        <v>746</v>
      </c>
      <c r="G200" s="11">
        <v>9282</v>
      </c>
      <c r="H200" s="11">
        <f t="shared" si="6"/>
        <v>1000</v>
      </c>
      <c r="I200" s="11">
        <f t="shared" si="7"/>
        <v>9282000</v>
      </c>
      <c r="J200" s="11" t="s">
        <v>775</v>
      </c>
    </row>
    <row r="201" spans="1:10" x14ac:dyDescent="0.35">
      <c r="A201" s="11" t="s">
        <v>764</v>
      </c>
      <c r="B201" s="11" t="s">
        <v>748</v>
      </c>
      <c r="C201" s="18" t="s">
        <v>27</v>
      </c>
      <c r="D201" s="18" t="s">
        <v>3</v>
      </c>
      <c r="E201" s="11" t="s">
        <v>353</v>
      </c>
      <c r="F201" s="11" t="s">
        <v>763</v>
      </c>
      <c r="G201" s="11">
        <v>4402</v>
      </c>
      <c r="H201" s="11">
        <f t="shared" si="6"/>
        <v>650</v>
      </c>
      <c r="I201" s="11">
        <f t="shared" si="7"/>
        <v>2861300</v>
      </c>
      <c r="J201" s="11" t="s">
        <v>775</v>
      </c>
    </row>
    <row r="202" spans="1:10" x14ac:dyDescent="0.35">
      <c r="A202" s="11" t="s">
        <v>762</v>
      </c>
      <c r="B202" s="11" t="s">
        <v>748</v>
      </c>
      <c r="C202" s="18" t="s">
        <v>12</v>
      </c>
      <c r="D202" s="18" t="s">
        <v>22</v>
      </c>
      <c r="E202" s="11" t="s">
        <v>698</v>
      </c>
      <c r="F202" s="11" t="s">
        <v>743</v>
      </c>
      <c r="G202" s="11">
        <v>8536</v>
      </c>
      <c r="H202" s="11">
        <f t="shared" si="6"/>
        <v>250</v>
      </c>
      <c r="I202" s="11">
        <f t="shared" si="7"/>
        <v>2134000</v>
      </c>
      <c r="J202" s="11" t="s">
        <v>776</v>
      </c>
    </row>
    <row r="203" spans="1:10" x14ac:dyDescent="0.35">
      <c r="A203" s="11" t="s">
        <v>758</v>
      </c>
      <c r="B203" s="11" t="s">
        <v>751</v>
      </c>
      <c r="C203" s="18" t="s">
        <v>12</v>
      </c>
      <c r="D203" s="18" t="s">
        <v>569</v>
      </c>
      <c r="E203" s="11" t="s">
        <v>570</v>
      </c>
      <c r="F203" s="11" t="s">
        <v>763</v>
      </c>
      <c r="G203" s="11">
        <v>6982</v>
      </c>
      <c r="H203" s="11">
        <f t="shared" si="6"/>
        <v>150</v>
      </c>
      <c r="I203" s="11">
        <f t="shared" si="7"/>
        <v>1047300</v>
      </c>
      <c r="J203" s="11" t="s">
        <v>775</v>
      </c>
    </row>
    <row r="204" spans="1:10" x14ac:dyDescent="0.35">
      <c r="A204" s="11" t="s">
        <v>758</v>
      </c>
      <c r="B204" s="11" t="s">
        <v>745</v>
      </c>
      <c r="C204" s="18" t="s">
        <v>52</v>
      </c>
      <c r="D204" s="18" t="s">
        <v>657</v>
      </c>
      <c r="E204" s="11" t="s">
        <v>689</v>
      </c>
      <c r="F204" s="11" t="s">
        <v>743</v>
      </c>
      <c r="G204" s="11">
        <v>2009</v>
      </c>
      <c r="H204" s="11">
        <f t="shared" si="6"/>
        <v>150</v>
      </c>
      <c r="I204" s="11">
        <f t="shared" si="7"/>
        <v>301350</v>
      </c>
      <c r="J204" s="11" t="s">
        <v>775</v>
      </c>
    </row>
    <row r="205" spans="1:10" ht="46.5" x14ac:dyDescent="0.35">
      <c r="A205" s="11" t="s">
        <v>762</v>
      </c>
      <c r="B205" s="11" t="s">
        <v>751</v>
      </c>
      <c r="C205" s="18" t="s">
        <v>89</v>
      </c>
      <c r="D205" s="18" t="s">
        <v>90</v>
      </c>
      <c r="E205" s="11" t="s">
        <v>239</v>
      </c>
      <c r="F205" s="11" t="s">
        <v>743</v>
      </c>
      <c r="G205" s="11">
        <v>4399</v>
      </c>
      <c r="H205" s="11">
        <f t="shared" si="6"/>
        <v>250</v>
      </c>
      <c r="I205" s="11">
        <f t="shared" si="7"/>
        <v>1099750</v>
      </c>
      <c r="J205" s="11" t="s">
        <v>776</v>
      </c>
    </row>
    <row r="206" spans="1:10" x14ac:dyDescent="0.35">
      <c r="A206" s="11" t="s">
        <v>741</v>
      </c>
      <c r="B206" s="11" t="s">
        <v>745</v>
      </c>
      <c r="C206" s="18" t="s">
        <v>27</v>
      </c>
      <c r="D206" s="18" t="s">
        <v>28</v>
      </c>
      <c r="E206" s="11" t="s">
        <v>706</v>
      </c>
      <c r="F206" s="11" t="s">
        <v>754</v>
      </c>
      <c r="G206" s="11">
        <v>7590</v>
      </c>
      <c r="H206" s="11">
        <f t="shared" si="6"/>
        <v>550</v>
      </c>
      <c r="I206" s="11">
        <f t="shared" si="7"/>
        <v>4174500</v>
      </c>
      <c r="J206" s="11" t="s">
        <v>775</v>
      </c>
    </row>
    <row r="207" spans="1:10" x14ac:dyDescent="0.35">
      <c r="A207" s="11" t="s">
        <v>753</v>
      </c>
      <c r="B207" s="11" t="s">
        <v>742</v>
      </c>
      <c r="C207" s="18" t="s">
        <v>40</v>
      </c>
      <c r="D207" s="18" t="s">
        <v>59</v>
      </c>
      <c r="E207" s="11" t="s">
        <v>449</v>
      </c>
      <c r="F207" s="11" t="s">
        <v>746</v>
      </c>
      <c r="G207" s="11">
        <v>5964</v>
      </c>
      <c r="H207" s="11">
        <f t="shared" si="6"/>
        <v>450</v>
      </c>
      <c r="I207" s="11">
        <f t="shared" si="7"/>
        <v>2683800</v>
      </c>
      <c r="J207" s="11" t="s">
        <v>775</v>
      </c>
    </row>
    <row r="208" spans="1:10" x14ac:dyDescent="0.35">
      <c r="A208" s="11" t="s">
        <v>741</v>
      </c>
      <c r="B208" s="11" t="s">
        <v>748</v>
      </c>
      <c r="C208" s="18" t="s">
        <v>12</v>
      </c>
      <c r="D208" s="18" t="s">
        <v>331</v>
      </c>
      <c r="E208" s="11" t="s">
        <v>647</v>
      </c>
      <c r="F208" s="11" t="s">
        <v>749</v>
      </c>
      <c r="G208" s="11">
        <v>5159</v>
      </c>
      <c r="H208" s="11">
        <f t="shared" si="6"/>
        <v>550</v>
      </c>
      <c r="I208" s="11">
        <f t="shared" si="7"/>
        <v>2837450</v>
      </c>
      <c r="J208" s="11" t="s">
        <v>775</v>
      </c>
    </row>
    <row r="209" spans="1:10" x14ac:dyDescent="0.35">
      <c r="A209" s="11" t="s">
        <v>758</v>
      </c>
      <c r="B209" s="11" t="s">
        <v>751</v>
      </c>
      <c r="C209" s="18" t="s">
        <v>40</v>
      </c>
      <c r="D209" s="18" t="s">
        <v>364</v>
      </c>
      <c r="E209" s="11" t="s">
        <v>365</v>
      </c>
      <c r="F209" s="11" t="s">
        <v>767</v>
      </c>
      <c r="G209" s="11">
        <v>7244</v>
      </c>
      <c r="H209" s="11">
        <f t="shared" si="6"/>
        <v>150</v>
      </c>
      <c r="I209" s="11">
        <f t="shared" si="7"/>
        <v>1086600</v>
      </c>
      <c r="J209" s="11" t="s">
        <v>776</v>
      </c>
    </row>
    <row r="210" spans="1:10" x14ac:dyDescent="0.35">
      <c r="A210" s="11" t="s">
        <v>755</v>
      </c>
      <c r="B210" s="11" t="s">
        <v>751</v>
      </c>
      <c r="C210" s="18" t="s">
        <v>27</v>
      </c>
      <c r="D210" s="18" t="s">
        <v>28</v>
      </c>
      <c r="E210" s="11" t="s">
        <v>29</v>
      </c>
      <c r="F210" s="11" t="s">
        <v>757</v>
      </c>
      <c r="G210" s="11">
        <v>2651</v>
      </c>
      <c r="H210" s="11">
        <f t="shared" si="6"/>
        <v>1000</v>
      </c>
      <c r="I210" s="11">
        <f t="shared" si="7"/>
        <v>2651000</v>
      </c>
      <c r="J210" s="11" t="s">
        <v>776</v>
      </c>
    </row>
    <row r="211" spans="1:10" x14ac:dyDescent="0.35">
      <c r="A211" s="11" t="s">
        <v>758</v>
      </c>
      <c r="B211" s="11" t="s">
        <v>751</v>
      </c>
      <c r="C211" s="18" t="s">
        <v>12</v>
      </c>
      <c r="D211" s="18" t="s">
        <v>356</v>
      </c>
      <c r="E211" s="11" t="s">
        <v>627</v>
      </c>
      <c r="F211" s="11" t="s">
        <v>757</v>
      </c>
      <c r="G211" s="11">
        <v>9272</v>
      </c>
      <c r="H211" s="11">
        <f t="shared" si="6"/>
        <v>150</v>
      </c>
      <c r="I211" s="11">
        <f t="shared" si="7"/>
        <v>1390800</v>
      </c>
      <c r="J211" s="11" t="s">
        <v>775</v>
      </c>
    </row>
    <row r="212" spans="1:10" x14ac:dyDescent="0.35">
      <c r="A212" s="11" t="s">
        <v>744</v>
      </c>
      <c r="B212" s="11" t="s">
        <v>751</v>
      </c>
      <c r="C212" s="18" t="s">
        <v>12</v>
      </c>
      <c r="D212" s="18" t="s">
        <v>331</v>
      </c>
      <c r="E212" s="11" t="s">
        <v>524</v>
      </c>
      <c r="F212" s="11" t="s">
        <v>757</v>
      </c>
      <c r="G212" s="11">
        <v>1435</v>
      </c>
      <c r="H212" s="11">
        <f t="shared" si="6"/>
        <v>800</v>
      </c>
      <c r="I212" s="11">
        <f t="shared" si="7"/>
        <v>1148000</v>
      </c>
      <c r="J212" s="11" t="s">
        <v>776</v>
      </c>
    </row>
    <row r="213" spans="1:10" x14ac:dyDescent="0.35">
      <c r="A213" s="11" t="s">
        <v>764</v>
      </c>
      <c r="B213" s="11" t="s">
        <v>748</v>
      </c>
      <c r="C213" s="18" t="s">
        <v>12</v>
      </c>
      <c r="D213" s="18" t="s">
        <v>356</v>
      </c>
      <c r="E213" s="11" t="s">
        <v>729</v>
      </c>
      <c r="F213" s="11" t="s">
        <v>746</v>
      </c>
      <c r="G213" s="11">
        <v>9535</v>
      </c>
      <c r="H213" s="11">
        <f t="shared" si="6"/>
        <v>650</v>
      </c>
      <c r="I213" s="11">
        <f t="shared" si="7"/>
        <v>6197750</v>
      </c>
      <c r="J213" s="11" t="s">
        <v>776</v>
      </c>
    </row>
    <row r="214" spans="1:10" x14ac:dyDescent="0.35">
      <c r="A214" s="11" t="s">
        <v>760</v>
      </c>
      <c r="B214" s="11" t="s">
        <v>751</v>
      </c>
      <c r="C214" s="18" t="s">
        <v>12</v>
      </c>
      <c r="D214" s="18" t="s">
        <v>292</v>
      </c>
      <c r="E214" s="11" t="s">
        <v>540</v>
      </c>
      <c r="F214" s="11" t="s">
        <v>759</v>
      </c>
      <c r="G214" s="11">
        <v>2053</v>
      </c>
      <c r="H214" s="11">
        <f t="shared" si="6"/>
        <v>1600</v>
      </c>
      <c r="I214" s="11">
        <f t="shared" si="7"/>
        <v>3284800</v>
      </c>
      <c r="J214" s="11" t="s">
        <v>776</v>
      </c>
    </row>
    <row r="215" spans="1:10" x14ac:dyDescent="0.35">
      <c r="A215" s="11" t="s">
        <v>766</v>
      </c>
      <c r="B215" s="11" t="s">
        <v>742</v>
      </c>
      <c r="C215" s="18" t="s">
        <v>9</v>
      </c>
      <c r="D215" s="18" t="s">
        <v>143</v>
      </c>
      <c r="E215" s="11" t="s">
        <v>447</v>
      </c>
      <c r="F215" s="11" t="s">
        <v>749</v>
      </c>
      <c r="G215" s="11">
        <v>5475</v>
      </c>
      <c r="H215" s="11">
        <f t="shared" si="6"/>
        <v>1440</v>
      </c>
      <c r="I215" s="11">
        <f t="shared" si="7"/>
        <v>7884000</v>
      </c>
      <c r="J215" s="11" t="s">
        <v>775</v>
      </c>
    </row>
    <row r="216" spans="1:10" x14ac:dyDescent="0.35">
      <c r="A216" s="11" t="s">
        <v>744</v>
      </c>
      <c r="B216" s="11" t="s">
        <v>745</v>
      </c>
      <c r="C216" s="18" t="s">
        <v>12</v>
      </c>
      <c r="D216" s="18" t="s">
        <v>541</v>
      </c>
      <c r="E216" s="11" t="s">
        <v>725</v>
      </c>
      <c r="F216" s="11" t="s">
        <v>757</v>
      </c>
      <c r="G216" s="11">
        <v>3045</v>
      </c>
      <c r="H216" s="11">
        <f t="shared" si="6"/>
        <v>800</v>
      </c>
      <c r="I216" s="11">
        <f t="shared" si="7"/>
        <v>2436000</v>
      </c>
      <c r="J216" s="11" t="s">
        <v>776</v>
      </c>
    </row>
    <row r="217" spans="1:10" x14ac:dyDescent="0.35">
      <c r="A217" s="11" t="s">
        <v>741</v>
      </c>
      <c r="B217" s="11" t="s">
        <v>748</v>
      </c>
      <c r="C217" s="18" t="s">
        <v>12</v>
      </c>
      <c r="D217" s="18" t="s">
        <v>354</v>
      </c>
      <c r="E217" s="11" t="s">
        <v>544</v>
      </c>
      <c r="F217" s="11" t="s">
        <v>743</v>
      </c>
      <c r="G217" s="11">
        <v>6538</v>
      </c>
      <c r="H217" s="11">
        <f t="shared" si="6"/>
        <v>550</v>
      </c>
      <c r="I217" s="11">
        <f t="shared" si="7"/>
        <v>3595900</v>
      </c>
      <c r="J217" s="11" t="s">
        <v>775</v>
      </c>
    </row>
    <row r="218" spans="1:10" x14ac:dyDescent="0.35">
      <c r="A218" s="11" t="s">
        <v>762</v>
      </c>
      <c r="B218" s="11" t="s">
        <v>748</v>
      </c>
      <c r="C218" s="18" t="s">
        <v>12</v>
      </c>
      <c r="D218" s="18" t="s">
        <v>101</v>
      </c>
      <c r="E218" s="11" t="s">
        <v>102</v>
      </c>
      <c r="F218" s="11" t="s">
        <v>767</v>
      </c>
      <c r="G218" s="11">
        <v>8473</v>
      </c>
      <c r="H218" s="11">
        <f t="shared" si="6"/>
        <v>250</v>
      </c>
      <c r="I218" s="11">
        <f t="shared" si="7"/>
        <v>2118250</v>
      </c>
      <c r="J218" s="11" t="s">
        <v>775</v>
      </c>
    </row>
    <row r="219" spans="1:10" x14ac:dyDescent="0.35">
      <c r="A219" s="11" t="s">
        <v>753</v>
      </c>
      <c r="B219" s="11" t="s">
        <v>751</v>
      </c>
      <c r="C219" s="18" t="s">
        <v>27</v>
      </c>
      <c r="D219" s="18" t="s">
        <v>28</v>
      </c>
      <c r="E219" s="11" t="s">
        <v>518</v>
      </c>
      <c r="F219" s="11" t="s">
        <v>756</v>
      </c>
      <c r="G219" s="11">
        <v>6291</v>
      </c>
      <c r="H219" s="11">
        <f t="shared" si="6"/>
        <v>450</v>
      </c>
      <c r="I219" s="11">
        <f t="shared" si="7"/>
        <v>2830950</v>
      </c>
      <c r="J219" s="11" t="s">
        <v>775</v>
      </c>
    </row>
    <row r="220" spans="1:10" x14ac:dyDescent="0.35">
      <c r="A220" s="11" t="s">
        <v>747</v>
      </c>
      <c r="B220" s="11" t="s">
        <v>745</v>
      </c>
      <c r="C220" s="18" t="s">
        <v>24</v>
      </c>
      <c r="D220" s="18" t="s">
        <v>25</v>
      </c>
      <c r="E220" s="11" t="s">
        <v>276</v>
      </c>
      <c r="F220" s="11" t="s">
        <v>761</v>
      </c>
      <c r="G220" s="11">
        <v>1653</v>
      </c>
      <c r="H220" s="11">
        <f t="shared" si="6"/>
        <v>700</v>
      </c>
      <c r="I220" s="11">
        <f t="shared" si="7"/>
        <v>1157100</v>
      </c>
      <c r="J220" s="11" t="s">
        <v>776</v>
      </c>
    </row>
    <row r="221" spans="1:10" x14ac:dyDescent="0.35">
      <c r="A221" s="11" t="s">
        <v>755</v>
      </c>
      <c r="B221" s="11" t="s">
        <v>742</v>
      </c>
      <c r="C221" s="18" t="s">
        <v>12</v>
      </c>
      <c r="D221" s="18" t="s">
        <v>22</v>
      </c>
      <c r="E221" s="11" t="s">
        <v>183</v>
      </c>
      <c r="F221" s="11" t="s">
        <v>752</v>
      </c>
      <c r="G221" s="11">
        <v>5835</v>
      </c>
      <c r="H221" s="11">
        <f t="shared" si="6"/>
        <v>1000</v>
      </c>
      <c r="I221" s="11">
        <f t="shared" si="7"/>
        <v>5835000</v>
      </c>
      <c r="J221" s="11" t="s">
        <v>775</v>
      </c>
    </row>
    <row r="222" spans="1:10" x14ac:dyDescent="0.35">
      <c r="A222" s="11" t="s">
        <v>750</v>
      </c>
      <c r="B222" s="11" t="s">
        <v>745</v>
      </c>
      <c r="C222" s="18" t="s">
        <v>12</v>
      </c>
      <c r="D222" s="18" t="s">
        <v>288</v>
      </c>
      <c r="E222" s="11" t="s">
        <v>289</v>
      </c>
      <c r="F222" s="11" t="s">
        <v>763</v>
      </c>
      <c r="G222" s="11">
        <v>5767</v>
      </c>
      <c r="H222" s="11">
        <f t="shared" si="6"/>
        <v>1500</v>
      </c>
      <c r="I222" s="11">
        <f t="shared" si="7"/>
        <v>8650500</v>
      </c>
      <c r="J222" s="11" t="s">
        <v>775</v>
      </c>
    </row>
    <row r="223" spans="1:10" ht="46.5" x14ac:dyDescent="0.35">
      <c r="A223" s="11" t="s">
        <v>766</v>
      </c>
      <c r="B223" s="11" t="s">
        <v>751</v>
      </c>
      <c r="C223" s="18" t="s">
        <v>89</v>
      </c>
      <c r="D223" s="18" t="s">
        <v>346</v>
      </c>
      <c r="E223" s="11" t="s">
        <v>606</v>
      </c>
      <c r="F223" s="11" t="s">
        <v>743</v>
      </c>
      <c r="G223" s="11">
        <v>7420</v>
      </c>
      <c r="H223" s="11">
        <f t="shared" si="6"/>
        <v>1440</v>
      </c>
      <c r="I223" s="11">
        <f t="shared" si="7"/>
        <v>10684800</v>
      </c>
      <c r="J223" s="11" t="s">
        <v>776</v>
      </c>
    </row>
    <row r="224" spans="1:10" x14ac:dyDescent="0.35">
      <c r="A224" s="11" t="s">
        <v>764</v>
      </c>
      <c r="B224" s="11" t="s">
        <v>742</v>
      </c>
      <c r="C224" s="18" t="s">
        <v>206</v>
      </c>
      <c r="D224" s="18" t="s">
        <v>207</v>
      </c>
      <c r="E224" s="11" t="s">
        <v>210</v>
      </c>
      <c r="F224" s="11" t="s">
        <v>759</v>
      </c>
      <c r="G224" s="11">
        <v>810</v>
      </c>
      <c r="H224" s="11">
        <f t="shared" si="6"/>
        <v>650</v>
      </c>
      <c r="I224" s="11">
        <f t="shared" si="7"/>
        <v>526500</v>
      </c>
      <c r="J224" s="11" t="s">
        <v>776</v>
      </c>
    </row>
    <row r="225" spans="1:10" ht="46.5" x14ac:dyDescent="0.35">
      <c r="A225" s="11" t="s">
        <v>758</v>
      </c>
      <c r="B225" s="11" t="s">
        <v>745</v>
      </c>
      <c r="C225" s="18" t="s">
        <v>269</v>
      </c>
      <c r="D225" s="18" t="s">
        <v>402</v>
      </c>
      <c r="E225" s="11" t="s">
        <v>403</v>
      </c>
      <c r="F225" s="11" t="s">
        <v>761</v>
      </c>
      <c r="G225" s="11">
        <v>9557</v>
      </c>
      <c r="H225" s="11">
        <f t="shared" si="6"/>
        <v>150</v>
      </c>
      <c r="I225" s="11">
        <f t="shared" si="7"/>
        <v>1433550</v>
      </c>
      <c r="J225" s="11" t="s">
        <v>776</v>
      </c>
    </row>
    <row r="226" spans="1:10" x14ac:dyDescent="0.35">
      <c r="A226" s="11" t="s">
        <v>760</v>
      </c>
      <c r="B226" s="11" t="s">
        <v>742</v>
      </c>
      <c r="C226" s="18" t="s">
        <v>40</v>
      </c>
      <c r="D226" s="18" t="s">
        <v>431</v>
      </c>
      <c r="E226" s="11" t="s">
        <v>576</v>
      </c>
      <c r="F226" s="11" t="s">
        <v>746</v>
      </c>
      <c r="G226" s="11">
        <v>2632</v>
      </c>
      <c r="H226" s="11">
        <f t="shared" si="6"/>
        <v>1600</v>
      </c>
      <c r="I226" s="11">
        <f t="shared" si="7"/>
        <v>4211200</v>
      </c>
      <c r="J226" s="11" t="s">
        <v>775</v>
      </c>
    </row>
    <row r="227" spans="1:10" x14ac:dyDescent="0.35">
      <c r="A227" s="11" t="s">
        <v>762</v>
      </c>
      <c r="B227" s="11" t="s">
        <v>745</v>
      </c>
      <c r="C227" s="18" t="s">
        <v>40</v>
      </c>
      <c r="D227" s="18" t="s">
        <v>327</v>
      </c>
      <c r="E227" s="11" t="s">
        <v>328</v>
      </c>
      <c r="F227" s="11" t="s">
        <v>767</v>
      </c>
      <c r="G227" s="11">
        <v>8841</v>
      </c>
      <c r="H227" s="11">
        <f t="shared" si="6"/>
        <v>250</v>
      </c>
      <c r="I227" s="11">
        <f t="shared" si="7"/>
        <v>2210250</v>
      </c>
      <c r="J227" s="11" t="s">
        <v>775</v>
      </c>
    </row>
    <row r="228" spans="1:10" x14ac:dyDescent="0.35">
      <c r="A228" s="11" t="s">
        <v>750</v>
      </c>
      <c r="B228" s="11" t="s">
        <v>745</v>
      </c>
      <c r="C228" s="18" t="s">
        <v>12</v>
      </c>
      <c r="D228" s="18" t="s">
        <v>519</v>
      </c>
      <c r="E228" s="11" t="s">
        <v>520</v>
      </c>
      <c r="F228" s="11" t="s">
        <v>759</v>
      </c>
      <c r="G228" s="11">
        <v>3072</v>
      </c>
      <c r="H228" s="11">
        <f t="shared" si="6"/>
        <v>1500</v>
      </c>
      <c r="I228" s="11">
        <f t="shared" si="7"/>
        <v>4608000</v>
      </c>
      <c r="J228" s="11" t="s">
        <v>776</v>
      </c>
    </row>
    <row r="229" spans="1:10" ht="46.5" x14ac:dyDescent="0.35">
      <c r="A229" s="11" t="s">
        <v>762</v>
      </c>
      <c r="B229" s="11" t="s">
        <v>748</v>
      </c>
      <c r="C229" s="18" t="s">
        <v>108</v>
      </c>
      <c r="D229" s="18" t="s">
        <v>404</v>
      </c>
      <c r="E229" s="11" t="s">
        <v>405</v>
      </c>
      <c r="F229" s="11" t="s">
        <v>746</v>
      </c>
      <c r="G229" s="11">
        <v>1918</v>
      </c>
      <c r="H229" s="11">
        <f t="shared" si="6"/>
        <v>250</v>
      </c>
      <c r="I229" s="11">
        <f t="shared" si="7"/>
        <v>479500</v>
      </c>
      <c r="J229" s="11" t="s">
        <v>775</v>
      </c>
    </row>
    <row r="230" spans="1:10" x14ac:dyDescent="0.35">
      <c r="A230" s="11" t="s">
        <v>741</v>
      </c>
      <c r="B230" s="11" t="s">
        <v>751</v>
      </c>
      <c r="C230" s="18" t="s">
        <v>12</v>
      </c>
      <c r="D230" s="18" t="s">
        <v>400</v>
      </c>
      <c r="E230" s="11" t="s">
        <v>401</v>
      </c>
      <c r="F230" s="11" t="s">
        <v>754</v>
      </c>
      <c r="G230" s="11">
        <v>4755</v>
      </c>
      <c r="H230" s="11">
        <f t="shared" si="6"/>
        <v>550</v>
      </c>
      <c r="I230" s="11">
        <f t="shared" si="7"/>
        <v>2615250</v>
      </c>
      <c r="J230" s="11" t="s">
        <v>776</v>
      </c>
    </row>
    <row r="231" spans="1:10" x14ac:dyDescent="0.35">
      <c r="A231" s="11" t="s">
        <v>765</v>
      </c>
      <c r="B231" s="11" t="s">
        <v>748</v>
      </c>
      <c r="C231" s="18" t="s">
        <v>27</v>
      </c>
      <c r="D231" s="18" t="s">
        <v>0</v>
      </c>
      <c r="E231" s="11" t="s">
        <v>387</v>
      </c>
      <c r="F231" s="11" t="s">
        <v>749</v>
      </c>
      <c r="G231" s="11">
        <v>2383</v>
      </c>
      <c r="H231" s="11">
        <f t="shared" si="6"/>
        <v>2000</v>
      </c>
      <c r="I231" s="11">
        <f t="shared" si="7"/>
        <v>4766000</v>
      </c>
      <c r="J231" s="11" t="s">
        <v>775</v>
      </c>
    </row>
    <row r="232" spans="1:10" x14ac:dyDescent="0.35">
      <c r="A232" s="11" t="s">
        <v>755</v>
      </c>
      <c r="B232" s="11" t="s">
        <v>745</v>
      </c>
      <c r="C232" s="18" t="s">
        <v>266</v>
      </c>
      <c r="D232" s="18" t="s">
        <v>686</v>
      </c>
      <c r="E232" s="11" t="s">
        <v>687</v>
      </c>
      <c r="F232" s="11" t="s">
        <v>768</v>
      </c>
      <c r="G232" s="11">
        <v>4342</v>
      </c>
      <c r="H232" s="11">
        <f t="shared" si="6"/>
        <v>1000</v>
      </c>
      <c r="I232" s="11">
        <f t="shared" si="7"/>
        <v>4342000</v>
      </c>
      <c r="J232" s="11" t="s">
        <v>775</v>
      </c>
    </row>
    <row r="233" spans="1:10" x14ac:dyDescent="0.35">
      <c r="A233" s="11" t="s">
        <v>758</v>
      </c>
      <c r="B233" s="11" t="s">
        <v>751</v>
      </c>
      <c r="C233" s="18" t="s">
        <v>12</v>
      </c>
      <c r="D233" s="18" t="s">
        <v>645</v>
      </c>
      <c r="E233" s="11" t="s">
        <v>646</v>
      </c>
      <c r="F233" s="11" t="s">
        <v>767</v>
      </c>
      <c r="G233" s="11">
        <v>4290</v>
      </c>
      <c r="H233" s="11">
        <f t="shared" si="6"/>
        <v>150</v>
      </c>
      <c r="I233" s="11">
        <f t="shared" si="7"/>
        <v>643500</v>
      </c>
      <c r="J233" s="11" t="s">
        <v>776</v>
      </c>
    </row>
    <row r="234" spans="1:10" x14ac:dyDescent="0.35">
      <c r="A234" s="11" t="s">
        <v>741</v>
      </c>
      <c r="B234" s="11" t="s">
        <v>748</v>
      </c>
      <c r="C234" s="18" t="s">
        <v>27</v>
      </c>
      <c r="D234" s="18" t="s">
        <v>1</v>
      </c>
      <c r="E234" s="11" t="s">
        <v>484</v>
      </c>
      <c r="F234" s="11" t="s">
        <v>757</v>
      </c>
      <c r="G234" s="11">
        <v>7130</v>
      </c>
      <c r="H234" s="11">
        <f t="shared" si="6"/>
        <v>550</v>
      </c>
      <c r="I234" s="11">
        <f t="shared" si="7"/>
        <v>3921500</v>
      </c>
      <c r="J234" s="11" t="s">
        <v>775</v>
      </c>
    </row>
    <row r="235" spans="1:10" x14ac:dyDescent="0.35">
      <c r="A235" s="11" t="s">
        <v>758</v>
      </c>
      <c r="B235" s="11" t="s">
        <v>742</v>
      </c>
      <c r="C235" s="18" t="s">
        <v>12</v>
      </c>
      <c r="D235" s="18" t="s">
        <v>22</v>
      </c>
      <c r="E235" s="11" t="s">
        <v>516</v>
      </c>
      <c r="F235" s="11" t="s">
        <v>746</v>
      </c>
      <c r="G235" s="11">
        <v>1915</v>
      </c>
      <c r="H235" s="11">
        <f t="shared" si="6"/>
        <v>150</v>
      </c>
      <c r="I235" s="11">
        <f t="shared" si="7"/>
        <v>287250</v>
      </c>
      <c r="J235" s="11" t="s">
        <v>775</v>
      </c>
    </row>
    <row r="236" spans="1:10" x14ac:dyDescent="0.35">
      <c r="A236" s="11" t="s">
        <v>753</v>
      </c>
      <c r="B236" s="11" t="s">
        <v>742</v>
      </c>
      <c r="C236" s="18" t="s">
        <v>40</v>
      </c>
      <c r="D236" s="18" t="s">
        <v>84</v>
      </c>
      <c r="E236" s="11" t="s">
        <v>560</v>
      </c>
      <c r="F236" s="11" t="s">
        <v>743</v>
      </c>
      <c r="G236" s="11">
        <v>4121</v>
      </c>
      <c r="H236" s="11">
        <f t="shared" si="6"/>
        <v>450</v>
      </c>
      <c r="I236" s="11">
        <f t="shared" si="7"/>
        <v>1854450</v>
      </c>
      <c r="J236" s="11" t="s">
        <v>776</v>
      </c>
    </row>
    <row r="237" spans="1:10" x14ac:dyDescent="0.35">
      <c r="A237" s="11" t="s">
        <v>765</v>
      </c>
      <c r="B237" s="11" t="s">
        <v>745</v>
      </c>
      <c r="C237" s="18" t="s">
        <v>12</v>
      </c>
      <c r="D237" s="18" t="s">
        <v>47</v>
      </c>
      <c r="E237" s="11" t="s">
        <v>48</v>
      </c>
      <c r="F237" s="11" t="s">
        <v>761</v>
      </c>
      <c r="G237" s="11">
        <v>4136</v>
      </c>
      <c r="H237" s="11">
        <f t="shared" si="6"/>
        <v>2000</v>
      </c>
      <c r="I237" s="11">
        <f t="shared" si="7"/>
        <v>8272000</v>
      </c>
      <c r="J237" s="11" t="s">
        <v>776</v>
      </c>
    </row>
    <row r="238" spans="1:10" x14ac:dyDescent="0.35">
      <c r="A238" s="11" t="s">
        <v>747</v>
      </c>
      <c r="B238" s="11" t="s">
        <v>748</v>
      </c>
      <c r="C238" s="18" t="s">
        <v>12</v>
      </c>
      <c r="D238" s="18" t="s">
        <v>292</v>
      </c>
      <c r="E238" s="11" t="s">
        <v>535</v>
      </c>
      <c r="F238" s="11" t="s">
        <v>761</v>
      </c>
      <c r="G238" s="11">
        <v>9959</v>
      </c>
      <c r="H238" s="11">
        <f t="shared" si="6"/>
        <v>700</v>
      </c>
      <c r="I238" s="11">
        <f t="shared" si="7"/>
        <v>6971300</v>
      </c>
      <c r="J238" s="11" t="s">
        <v>776</v>
      </c>
    </row>
    <row r="239" spans="1:10" x14ac:dyDescent="0.35">
      <c r="A239" s="11" t="s">
        <v>758</v>
      </c>
      <c r="B239" s="11" t="s">
        <v>748</v>
      </c>
      <c r="C239" s="18" t="s">
        <v>12</v>
      </c>
      <c r="D239" s="18" t="s">
        <v>22</v>
      </c>
      <c r="E239" s="11" t="s">
        <v>105</v>
      </c>
      <c r="F239" s="11" t="s">
        <v>743</v>
      </c>
      <c r="G239" s="11">
        <v>6624</v>
      </c>
      <c r="H239" s="11">
        <f t="shared" si="6"/>
        <v>150</v>
      </c>
      <c r="I239" s="11">
        <f t="shared" si="7"/>
        <v>993600</v>
      </c>
      <c r="J239" s="11" t="s">
        <v>776</v>
      </c>
    </row>
    <row r="240" spans="1:10" ht="46.5" x14ac:dyDescent="0.35">
      <c r="A240" s="11" t="s">
        <v>747</v>
      </c>
      <c r="B240" s="11" t="s">
        <v>742</v>
      </c>
      <c r="C240" s="18" t="s">
        <v>89</v>
      </c>
      <c r="D240" s="18" t="s">
        <v>90</v>
      </c>
      <c r="E240" s="11" t="s">
        <v>553</v>
      </c>
      <c r="F240" s="11" t="s">
        <v>768</v>
      </c>
      <c r="G240" s="11">
        <v>3410</v>
      </c>
      <c r="H240" s="11">
        <f t="shared" si="6"/>
        <v>700</v>
      </c>
      <c r="I240" s="11">
        <f t="shared" si="7"/>
        <v>2387000</v>
      </c>
      <c r="J240" s="11" t="s">
        <v>775</v>
      </c>
    </row>
    <row r="241" spans="1:10" x14ac:dyDescent="0.35">
      <c r="A241" s="11" t="s">
        <v>741</v>
      </c>
      <c r="B241" s="11" t="s">
        <v>748</v>
      </c>
      <c r="C241" s="18" t="s">
        <v>12</v>
      </c>
      <c r="D241" s="18" t="s">
        <v>117</v>
      </c>
      <c r="E241" s="11" t="s">
        <v>469</v>
      </c>
      <c r="F241" s="11" t="s">
        <v>768</v>
      </c>
      <c r="G241" s="11">
        <v>6495</v>
      </c>
      <c r="H241" s="11">
        <f t="shared" si="6"/>
        <v>550</v>
      </c>
      <c r="I241" s="11">
        <f t="shared" si="7"/>
        <v>3572250</v>
      </c>
      <c r="J241" s="11" t="s">
        <v>776</v>
      </c>
    </row>
    <row r="242" spans="1:10" x14ac:dyDescent="0.35">
      <c r="A242" s="11" t="s">
        <v>760</v>
      </c>
      <c r="B242" s="11" t="s">
        <v>745</v>
      </c>
      <c r="C242" s="18" t="s">
        <v>12</v>
      </c>
      <c r="D242" s="18" t="s">
        <v>245</v>
      </c>
      <c r="E242" s="11" t="s">
        <v>452</v>
      </c>
      <c r="F242" s="11" t="s">
        <v>763</v>
      </c>
      <c r="G242" s="11">
        <v>7518</v>
      </c>
      <c r="H242" s="11">
        <f t="shared" si="6"/>
        <v>1600</v>
      </c>
      <c r="I242" s="11">
        <f t="shared" si="7"/>
        <v>12028800</v>
      </c>
      <c r="J242" s="11" t="s">
        <v>775</v>
      </c>
    </row>
    <row r="243" spans="1:10" x14ac:dyDescent="0.35">
      <c r="A243" s="11" t="s">
        <v>741</v>
      </c>
      <c r="B243" s="11" t="s">
        <v>745</v>
      </c>
      <c r="C243" s="18" t="s">
        <v>108</v>
      </c>
      <c r="D243" s="18" t="s">
        <v>262</v>
      </c>
      <c r="E243" s="11" t="s">
        <v>263</v>
      </c>
      <c r="F243" s="11" t="s">
        <v>757</v>
      </c>
      <c r="G243" s="11">
        <v>3476</v>
      </c>
      <c r="H243" s="11">
        <f t="shared" si="6"/>
        <v>550</v>
      </c>
      <c r="I243" s="11">
        <f t="shared" si="7"/>
        <v>1911800</v>
      </c>
      <c r="J243" s="11" t="s">
        <v>775</v>
      </c>
    </row>
    <row r="244" spans="1:10" ht="46.5" x14ac:dyDescent="0.35">
      <c r="A244" s="11" t="s">
        <v>755</v>
      </c>
      <c r="B244" s="11" t="s">
        <v>742</v>
      </c>
      <c r="C244" s="18" t="s">
        <v>89</v>
      </c>
      <c r="D244" s="18" t="s">
        <v>90</v>
      </c>
      <c r="E244" s="11" t="s">
        <v>138</v>
      </c>
      <c r="F244" s="11" t="s">
        <v>754</v>
      </c>
      <c r="G244" s="11">
        <v>1766</v>
      </c>
      <c r="H244" s="11">
        <f t="shared" si="6"/>
        <v>1000</v>
      </c>
      <c r="I244" s="11">
        <f t="shared" si="7"/>
        <v>1766000</v>
      </c>
      <c r="J244" s="11" t="s">
        <v>775</v>
      </c>
    </row>
    <row r="245" spans="1:10" x14ac:dyDescent="0.35">
      <c r="A245" s="11" t="s">
        <v>762</v>
      </c>
      <c r="B245" s="11" t="s">
        <v>751</v>
      </c>
      <c r="C245" s="18" t="s">
        <v>266</v>
      </c>
      <c r="D245" s="18" t="s">
        <v>267</v>
      </c>
      <c r="E245" s="11" t="s">
        <v>714</v>
      </c>
      <c r="F245" s="11" t="s">
        <v>767</v>
      </c>
      <c r="G245" s="11">
        <v>8540</v>
      </c>
      <c r="H245" s="11">
        <f t="shared" si="6"/>
        <v>250</v>
      </c>
      <c r="I245" s="11">
        <f t="shared" si="7"/>
        <v>2135000</v>
      </c>
      <c r="J245" s="11" t="s">
        <v>776</v>
      </c>
    </row>
    <row r="246" spans="1:10" x14ac:dyDescent="0.35">
      <c r="A246" s="11" t="s">
        <v>764</v>
      </c>
      <c r="B246" s="11" t="s">
        <v>748</v>
      </c>
      <c r="C246" s="18" t="s">
        <v>40</v>
      </c>
      <c r="D246" s="18" t="s">
        <v>41</v>
      </c>
      <c r="E246" s="11" t="s">
        <v>499</v>
      </c>
      <c r="F246" s="11" t="s">
        <v>768</v>
      </c>
      <c r="G246" s="11">
        <v>6417</v>
      </c>
      <c r="H246" s="11">
        <f t="shared" si="6"/>
        <v>650</v>
      </c>
      <c r="I246" s="11">
        <f t="shared" si="7"/>
        <v>4171050</v>
      </c>
      <c r="J246" s="11" t="s">
        <v>776</v>
      </c>
    </row>
    <row r="247" spans="1:10" x14ac:dyDescent="0.35">
      <c r="A247" s="11" t="s">
        <v>747</v>
      </c>
      <c r="B247" s="11" t="s">
        <v>745</v>
      </c>
      <c r="C247" s="18" t="s">
        <v>192</v>
      </c>
      <c r="D247" s="18" t="s">
        <v>193</v>
      </c>
      <c r="E247" s="11" t="s">
        <v>194</v>
      </c>
      <c r="F247" s="11" t="s">
        <v>761</v>
      </c>
      <c r="G247" s="11">
        <v>4438</v>
      </c>
      <c r="H247" s="11">
        <f t="shared" si="6"/>
        <v>700</v>
      </c>
      <c r="I247" s="11">
        <f t="shared" si="7"/>
        <v>3106600</v>
      </c>
      <c r="J247" s="11" t="s">
        <v>776</v>
      </c>
    </row>
    <row r="248" spans="1:10" x14ac:dyDescent="0.35">
      <c r="A248" s="11" t="s">
        <v>766</v>
      </c>
      <c r="B248" s="11" t="s">
        <v>745</v>
      </c>
      <c r="C248" s="18" t="s">
        <v>259</v>
      </c>
      <c r="D248" s="18" t="s">
        <v>613</v>
      </c>
      <c r="E248" s="11" t="s">
        <v>675</v>
      </c>
      <c r="F248" s="11" t="s">
        <v>768</v>
      </c>
      <c r="G248" s="11">
        <v>3629</v>
      </c>
      <c r="H248" s="11">
        <f t="shared" si="6"/>
        <v>1440</v>
      </c>
      <c r="I248" s="11">
        <f t="shared" si="7"/>
        <v>5225760</v>
      </c>
      <c r="J248" s="11" t="s">
        <v>775</v>
      </c>
    </row>
    <row r="249" spans="1:10" x14ac:dyDescent="0.35">
      <c r="A249" s="11" t="s">
        <v>741</v>
      </c>
      <c r="B249" s="11" t="s">
        <v>745</v>
      </c>
      <c r="C249" s="18" t="s">
        <v>12</v>
      </c>
      <c r="D249" s="18" t="s">
        <v>273</v>
      </c>
      <c r="E249" s="11" t="s">
        <v>274</v>
      </c>
      <c r="F249" s="11" t="s">
        <v>743</v>
      </c>
      <c r="G249" s="11">
        <v>1176</v>
      </c>
      <c r="H249" s="11">
        <f t="shared" si="6"/>
        <v>550</v>
      </c>
      <c r="I249" s="11">
        <f t="shared" si="7"/>
        <v>646800</v>
      </c>
      <c r="J249" s="11" t="s">
        <v>776</v>
      </c>
    </row>
    <row r="250" spans="1:10" x14ac:dyDescent="0.35">
      <c r="A250" s="11" t="s">
        <v>765</v>
      </c>
      <c r="B250" s="11" t="s">
        <v>742</v>
      </c>
      <c r="C250" s="18" t="s">
        <v>81</v>
      </c>
      <c r="D250" s="18" t="s">
        <v>439</v>
      </c>
      <c r="E250" s="11" t="s">
        <v>502</v>
      </c>
      <c r="F250" s="11" t="s">
        <v>757</v>
      </c>
      <c r="G250" s="11">
        <v>4471</v>
      </c>
      <c r="H250" s="11">
        <f t="shared" si="6"/>
        <v>2000</v>
      </c>
      <c r="I250" s="11">
        <f t="shared" si="7"/>
        <v>8942000</v>
      </c>
      <c r="J250" s="11" t="s">
        <v>775</v>
      </c>
    </row>
    <row r="251" spans="1:10" x14ac:dyDescent="0.35">
      <c r="A251" s="11" t="s">
        <v>747</v>
      </c>
      <c r="B251" s="11" t="s">
        <v>748</v>
      </c>
      <c r="C251" s="18" t="s">
        <v>108</v>
      </c>
      <c r="D251" s="18" t="s">
        <v>234</v>
      </c>
      <c r="E251" s="11" t="s">
        <v>703</v>
      </c>
      <c r="F251" s="11" t="s">
        <v>752</v>
      </c>
      <c r="G251" s="11">
        <v>7080</v>
      </c>
      <c r="H251" s="11">
        <f t="shared" si="6"/>
        <v>700</v>
      </c>
      <c r="I251" s="11">
        <f t="shared" si="7"/>
        <v>4956000</v>
      </c>
      <c r="J251" s="11" t="s">
        <v>775</v>
      </c>
    </row>
    <row r="252" spans="1:10" x14ac:dyDescent="0.35">
      <c r="A252" s="11" t="s">
        <v>766</v>
      </c>
      <c r="B252" s="11" t="s">
        <v>751</v>
      </c>
      <c r="C252" s="18" t="s">
        <v>40</v>
      </c>
      <c r="D252" s="18" t="s">
        <v>41</v>
      </c>
      <c r="E252" s="11" t="s">
        <v>162</v>
      </c>
      <c r="F252" s="11" t="s">
        <v>763</v>
      </c>
      <c r="G252" s="11">
        <v>667</v>
      </c>
      <c r="H252" s="11">
        <f t="shared" si="6"/>
        <v>1440</v>
      </c>
      <c r="I252" s="11">
        <f t="shared" si="7"/>
        <v>960480</v>
      </c>
      <c r="J252" s="11" t="s">
        <v>776</v>
      </c>
    </row>
    <row r="253" spans="1:10" x14ac:dyDescent="0.35">
      <c r="A253" s="11" t="s">
        <v>765</v>
      </c>
      <c r="B253" s="11" t="s">
        <v>748</v>
      </c>
      <c r="C253" s="18" t="s">
        <v>27</v>
      </c>
      <c r="D253" s="18" t="s">
        <v>28</v>
      </c>
      <c r="E253" s="11" t="s">
        <v>204</v>
      </c>
      <c r="F253" s="11" t="s">
        <v>752</v>
      </c>
      <c r="G253" s="11">
        <v>9004</v>
      </c>
      <c r="H253" s="11">
        <f t="shared" si="6"/>
        <v>2000</v>
      </c>
      <c r="I253" s="11">
        <f t="shared" si="7"/>
        <v>18008000</v>
      </c>
      <c r="J253" s="11" t="s">
        <v>775</v>
      </c>
    </row>
    <row r="254" spans="1:10" x14ac:dyDescent="0.35">
      <c r="A254" s="11" t="s">
        <v>758</v>
      </c>
      <c r="B254" s="11" t="s">
        <v>742</v>
      </c>
      <c r="C254" s="18" t="s">
        <v>12</v>
      </c>
      <c r="D254" s="18" t="s">
        <v>22</v>
      </c>
      <c r="E254" s="11" t="s">
        <v>598</v>
      </c>
      <c r="F254" s="11" t="s">
        <v>759</v>
      </c>
      <c r="G254" s="11">
        <v>5815</v>
      </c>
      <c r="H254" s="11">
        <f t="shared" si="6"/>
        <v>150</v>
      </c>
      <c r="I254" s="11">
        <f t="shared" si="7"/>
        <v>872250</v>
      </c>
      <c r="J254" s="11" t="s">
        <v>775</v>
      </c>
    </row>
    <row r="255" spans="1:10" ht="46.5" x14ac:dyDescent="0.35">
      <c r="A255" s="11" t="s">
        <v>762</v>
      </c>
      <c r="B255" s="11" t="s">
        <v>745</v>
      </c>
      <c r="C255" s="18" t="s">
        <v>119</v>
      </c>
      <c r="D255" s="18" t="s">
        <v>249</v>
      </c>
      <c r="E255" s="11" t="s">
        <v>497</v>
      </c>
      <c r="F255" s="11" t="s">
        <v>761</v>
      </c>
      <c r="G255" s="11">
        <v>9394</v>
      </c>
      <c r="H255" s="11">
        <f t="shared" si="6"/>
        <v>250</v>
      </c>
      <c r="I255" s="11">
        <f t="shared" si="7"/>
        <v>2348500</v>
      </c>
      <c r="J255" s="11" t="s">
        <v>775</v>
      </c>
    </row>
    <row r="256" spans="1:10" x14ac:dyDescent="0.35">
      <c r="A256" s="11" t="s">
        <v>765</v>
      </c>
      <c r="B256" s="11" t="s">
        <v>751</v>
      </c>
      <c r="C256" s="18" t="s">
        <v>9</v>
      </c>
      <c r="D256" s="18" t="s">
        <v>10</v>
      </c>
      <c r="E256" s="11" t="s">
        <v>419</v>
      </c>
      <c r="F256" s="11" t="s">
        <v>752</v>
      </c>
      <c r="G256" s="11">
        <v>8988</v>
      </c>
      <c r="H256" s="11">
        <f t="shared" si="6"/>
        <v>2000</v>
      </c>
      <c r="I256" s="11">
        <f t="shared" si="7"/>
        <v>17976000</v>
      </c>
      <c r="J256" s="11" t="s">
        <v>775</v>
      </c>
    </row>
    <row r="257" spans="1:10" x14ac:dyDescent="0.35">
      <c r="A257" s="11" t="s">
        <v>747</v>
      </c>
      <c r="B257" s="11" t="s">
        <v>745</v>
      </c>
      <c r="C257" s="18" t="s">
        <v>27</v>
      </c>
      <c r="D257" s="18" t="s">
        <v>0</v>
      </c>
      <c r="E257" s="11" t="s">
        <v>413</v>
      </c>
      <c r="F257" s="11" t="s">
        <v>754</v>
      </c>
      <c r="G257" s="11">
        <v>8761</v>
      </c>
      <c r="H257" s="11">
        <f t="shared" si="6"/>
        <v>700</v>
      </c>
      <c r="I257" s="11">
        <f t="shared" si="7"/>
        <v>6132700</v>
      </c>
      <c r="J257" s="11" t="s">
        <v>775</v>
      </c>
    </row>
    <row r="258" spans="1:10" x14ac:dyDescent="0.35">
      <c r="A258" s="11" t="s">
        <v>758</v>
      </c>
      <c r="B258" s="11" t="s">
        <v>742</v>
      </c>
      <c r="C258" s="18" t="s">
        <v>114</v>
      </c>
      <c r="D258" s="18" t="s">
        <v>126</v>
      </c>
      <c r="E258" s="11" t="s">
        <v>127</v>
      </c>
      <c r="F258" s="11" t="s">
        <v>752</v>
      </c>
      <c r="G258" s="11">
        <v>4405</v>
      </c>
      <c r="H258" s="11">
        <f t="shared" si="6"/>
        <v>150</v>
      </c>
      <c r="I258" s="11">
        <f t="shared" si="7"/>
        <v>660750</v>
      </c>
      <c r="J258" s="11" t="s">
        <v>776</v>
      </c>
    </row>
    <row r="259" spans="1:10" x14ac:dyDescent="0.35">
      <c r="A259" s="11" t="s">
        <v>765</v>
      </c>
      <c r="B259" s="11" t="s">
        <v>748</v>
      </c>
      <c r="C259" s="18" t="s">
        <v>40</v>
      </c>
      <c r="D259" s="18" t="s">
        <v>611</v>
      </c>
      <c r="E259" s="11" t="s">
        <v>612</v>
      </c>
      <c r="F259" s="11" t="s">
        <v>757</v>
      </c>
      <c r="G259" s="11">
        <v>5699</v>
      </c>
      <c r="H259" s="11">
        <f t="shared" si="6"/>
        <v>2000</v>
      </c>
      <c r="I259" s="11">
        <f t="shared" si="7"/>
        <v>11398000</v>
      </c>
      <c r="J259" s="11" t="s">
        <v>776</v>
      </c>
    </row>
    <row r="260" spans="1:10" x14ac:dyDescent="0.35">
      <c r="A260" s="11" t="s">
        <v>755</v>
      </c>
      <c r="B260" s="11" t="s">
        <v>742</v>
      </c>
      <c r="C260" s="18" t="s">
        <v>40</v>
      </c>
      <c r="D260" s="18" t="s">
        <v>329</v>
      </c>
      <c r="E260" s="11" t="s">
        <v>622</v>
      </c>
      <c r="F260" s="11" t="s">
        <v>759</v>
      </c>
      <c r="G260" s="11">
        <v>6327</v>
      </c>
      <c r="H260" s="11">
        <f t="shared" si="6"/>
        <v>1000</v>
      </c>
      <c r="I260" s="11">
        <f t="shared" si="7"/>
        <v>6327000</v>
      </c>
      <c r="J260" s="11" t="s">
        <v>776</v>
      </c>
    </row>
    <row r="261" spans="1:10" ht="46.5" x14ac:dyDescent="0.35">
      <c r="A261" s="11" t="s">
        <v>755</v>
      </c>
      <c r="B261" s="11" t="s">
        <v>745</v>
      </c>
      <c r="C261" s="18" t="s">
        <v>128</v>
      </c>
      <c r="D261" s="18" t="s">
        <v>294</v>
      </c>
      <c r="E261" s="11" t="s">
        <v>295</v>
      </c>
      <c r="F261" s="11" t="s">
        <v>756</v>
      </c>
      <c r="G261" s="11">
        <v>6640</v>
      </c>
      <c r="H261" s="11">
        <f t="shared" ref="H261:H324" si="8">IF(A261="Paracetamol",550,IF(A261="Fluconazole",800,IF(A261="Metformin",700,IF(A261="Diclofenac",1500,IF(A261="Dolo",450,IF(A261="Sumo",1000,IF(A261="Calpol",1600,IF(A261="Lbuprofen",250,IF(A261="Azithroycin",650,IF(A261="Amoxicillin",2000,IF(A261="Omeprazole",1440,IF(A261="Centirizin",150))))))))))))</f>
        <v>1000</v>
      </c>
      <c r="I261" s="11">
        <f t="shared" ref="I261:I324" si="9">G261*H261</f>
        <v>6640000</v>
      </c>
      <c r="J261" s="11" t="s">
        <v>776</v>
      </c>
    </row>
    <row r="262" spans="1:10" x14ac:dyDescent="0.35">
      <c r="A262" s="11" t="s">
        <v>750</v>
      </c>
      <c r="B262" s="11" t="s">
        <v>751</v>
      </c>
      <c r="C262" s="18" t="s">
        <v>12</v>
      </c>
      <c r="D262" s="18" t="s">
        <v>17</v>
      </c>
      <c r="E262" s="11" t="s">
        <v>18</v>
      </c>
      <c r="F262" s="11" t="s">
        <v>752</v>
      </c>
      <c r="G262" s="11">
        <v>6502</v>
      </c>
      <c r="H262" s="11">
        <f t="shared" si="8"/>
        <v>1500</v>
      </c>
      <c r="I262" s="11">
        <f t="shared" si="9"/>
        <v>9753000</v>
      </c>
      <c r="J262" s="11" t="s">
        <v>775</v>
      </c>
    </row>
    <row r="263" spans="1:10" x14ac:dyDescent="0.35">
      <c r="A263" s="11" t="s">
        <v>744</v>
      </c>
      <c r="B263" s="11" t="s">
        <v>742</v>
      </c>
      <c r="C263" s="18" t="s">
        <v>12</v>
      </c>
      <c r="D263" s="18" t="s">
        <v>22</v>
      </c>
      <c r="E263" s="11" t="s">
        <v>277</v>
      </c>
      <c r="F263" s="11" t="s">
        <v>768</v>
      </c>
      <c r="G263" s="11">
        <v>5572</v>
      </c>
      <c r="H263" s="11">
        <f t="shared" si="8"/>
        <v>800</v>
      </c>
      <c r="I263" s="11">
        <f t="shared" si="9"/>
        <v>4457600</v>
      </c>
      <c r="J263" s="11" t="s">
        <v>776</v>
      </c>
    </row>
    <row r="264" spans="1:10" x14ac:dyDescent="0.35">
      <c r="A264" s="11" t="s">
        <v>741</v>
      </c>
      <c r="B264" s="11" t="s">
        <v>745</v>
      </c>
      <c r="C264" s="18" t="s">
        <v>128</v>
      </c>
      <c r="D264" s="18" t="s">
        <v>129</v>
      </c>
      <c r="E264" s="11" t="s">
        <v>485</v>
      </c>
      <c r="F264" s="11" t="s">
        <v>759</v>
      </c>
      <c r="G264" s="11">
        <v>4258</v>
      </c>
      <c r="H264" s="11">
        <f t="shared" si="8"/>
        <v>550</v>
      </c>
      <c r="I264" s="11">
        <f t="shared" si="9"/>
        <v>2341900</v>
      </c>
      <c r="J264" s="11" t="s">
        <v>776</v>
      </c>
    </row>
    <row r="265" spans="1:10" ht="46.5" x14ac:dyDescent="0.35">
      <c r="A265" s="11" t="s">
        <v>762</v>
      </c>
      <c r="B265" s="11" t="s">
        <v>742</v>
      </c>
      <c r="C265" s="18" t="s">
        <v>89</v>
      </c>
      <c r="D265" s="18" t="s">
        <v>90</v>
      </c>
      <c r="E265" s="11" t="s">
        <v>173</v>
      </c>
      <c r="F265" s="11" t="s">
        <v>759</v>
      </c>
      <c r="G265" s="11">
        <v>9961</v>
      </c>
      <c r="H265" s="11">
        <f t="shared" si="8"/>
        <v>250</v>
      </c>
      <c r="I265" s="11">
        <f t="shared" si="9"/>
        <v>2490250</v>
      </c>
      <c r="J265" s="11" t="s">
        <v>776</v>
      </c>
    </row>
    <row r="266" spans="1:10" x14ac:dyDescent="0.35">
      <c r="A266" s="11" t="s">
        <v>758</v>
      </c>
      <c r="B266" s="11" t="s">
        <v>745</v>
      </c>
      <c r="C266" s="18" t="s">
        <v>65</v>
      </c>
      <c r="D266" s="18" t="s">
        <v>94</v>
      </c>
      <c r="E266" s="11" t="s">
        <v>95</v>
      </c>
      <c r="F266" s="11" t="s">
        <v>743</v>
      </c>
      <c r="G266" s="11">
        <v>1218</v>
      </c>
      <c r="H266" s="11">
        <f t="shared" si="8"/>
        <v>150</v>
      </c>
      <c r="I266" s="11">
        <f t="shared" si="9"/>
        <v>182700</v>
      </c>
      <c r="J266" s="11" t="s">
        <v>775</v>
      </c>
    </row>
    <row r="267" spans="1:10" x14ac:dyDescent="0.35">
      <c r="A267" s="11" t="s">
        <v>762</v>
      </c>
      <c r="B267" s="11" t="s">
        <v>751</v>
      </c>
      <c r="C267" s="18" t="s">
        <v>12</v>
      </c>
      <c r="D267" s="18" t="s">
        <v>292</v>
      </c>
      <c r="E267" s="11" t="s">
        <v>293</v>
      </c>
      <c r="F267" s="11" t="s">
        <v>743</v>
      </c>
      <c r="G267" s="11">
        <v>4411</v>
      </c>
      <c r="H267" s="11">
        <f t="shared" si="8"/>
        <v>250</v>
      </c>
      <c r="I267" s="11">
        <f t="shared" si="9"/>
        <v>1102750</v>
      </c>
      <c r="J267" s="11" t="s">
        <v>776</v>
      </c>
    </row>
    <row r="268" spans="1:10" x14ac:dyDescent="0.35">
      <c r="A268" s="11" t="s">
        <v>762</v>
      </c>
      <c r="B268" s="11" t="s">
        <v>745</v>
      </c>
      <c r="C268" s="18" t="s">
        <v>206</v>
      </c>
      <c r="D268" s="18" t="s">
        <v>207</v>
      </c>
      <c r="E268" s="11" t="s">
        <v>208</v>
      </c>
      <c r="F268" s="11" t="s">
        <v>749</v>
      </c>
      <c r="G268" s="11">
        <v>616</v>
      </c>
      <c r="H268" s="11">
        <f t="shared" si="8"/>
        <v>250</v>
      </c>
      <c r="I268" s="11">
        <f t="shared" si="9"/>
        <v>154000</v>
      </c>
      <c r="J268" s="11" t="s">
        <v>776</v>
      </c>
    </row>
    <row r="269" spans="1:10" x14ac:dyDescent="0.35">
      <c r="A269" s="11" t="s">
        <v>762</v>
      </c>
      <c r="B269" s="11" t="s">
        <v>748</v>
      </c>
      <c r="C269" s="18" t="s">
        <v>40</v>
      </c>
      <c r="D269" s="18" t="s">
        <v>243</v>
      </c>
      <c r="E269" s="11" t="s">
        <v>244</v>
      </c>
      <c r="F269" s="11" t="s">
        <v>763</v>
      </c>
      <c r="G269" s="11">
        <v>9006</v>
      </c>
      <c r="H269" s="11">
        <f t="shared" si="8"/>
        <v>250</v>
      </c>
      <c r="I269" s="11">
        <f t="shared" si="9"/>
        <v>2251500</v>
      </c>
      <c r="J269" s="11" t="s">
        <v>775</v>
      </c>
    </row>
    <row r="270" spans="1:10" x14ac:dyDescent="0.35">
      <c r="A270" s="11" t="s">
        <v>744</v>
      </c>
      <c r="B270" s="11" t="s">
        <v>742</v>
      </c>
      <c r="C270" s="18" t="s">
        <v>40</v>
      </c>
      <c r="D270" s="18" t="s">
        <v>528</v>
      </c>
      <c r="E270" s="11" t="s">
        <v>529</v>
      </c>
      <c r="F270" s="11" t="s">
        <v>746</v>
      </c>
      <c r="G270" s="11">
        <v>5244</v>
      </c>
      <c r="H270" s="11">
        <f t="shared" si="8"/>
        <v>800</v>
      </c>
      <c r="I270" s="11">
        <f t="shared" si="9"/>
        <v>4195200</v>
      </c>
      <c r="J270" s="11" t="s">
        <v>775</v>
      </c>
    </row>
    <row r="271" spans="1:10" x14ac:dyDescent="0.35">
      <c r="A271" s="11" t="s">
        <v>753</v>
      </c>
      <c r="B271" s="11" t="s">
        <v>751</v>
      </c>
      <c r="C271" s="18" t="s">
        <v>40</v>
      </c>
      <c r="D271" s="18" t="s">
        <v>329</v>
      </c>
      <c r="E271" s="11" t="s">
        <v>330</v>
      </c>
      <c r="F271" s="11" t="s">
        <v>746</v>
      </c>
      <c r="G271" s="11">
        <v>3996</v>
      </c>
      <c r="H271" s="11">
        <f t="shared" si="8"/>
        <v>450</v>
      </c>
      <c r="I271" s="11">
        <f t="shared" si="9"/>
        <v>1798200</v>
      </c>
      <c r="J271" s="11" t="s">
        <v>775</v>
      </c>
    </row>
    <row r="272" spans="1:10" x14ac:dyDescent="0.35">
      <c r="A272" s="11" t="s">
        <v>747</v>
      </c>
      <c r="B272" s="11" t="s">
        <v>742</v>
      </c>
      <c r="C272" s="18" t="s">
        <v>12</v>
      </c>
      <c r="D272" s="18" t="s">
        <v>195</v>
      </c>
      <c r="E272" s="11" t="s">
        <v>726</v>
      </c>
      <c r="F272" s="11" t="s">
        <v>763</v>
      </c>
      <c r="G272" s="11">
        <v>1939</v>
      </c>
      <c r="H272" s="11">
        <f t="shared" si="8"/>
        <v>700</v>
      </c>
      <c r="I272" s="11">
        <f t="shared" si="9"/>
        <v>1357300</v>
      </c>
      <c r="J272" s="11" t="s">
        <v>776</v>
      </c>
    </row>
    <row r="273" spans="1:10" ht="46.5" x14ac:dyDescent="0.35">
      <c r="A273" s="11" t="s">
        <v>744</v>
      </c>
      <c r="B273" s="11" t="s">
        <v>748</v>
      </c>
      <c r="C273" s="18" t="s">
        <v>12</v>
      </c>
      <c r="D273" s="18" t="s">
        <v>522</v>
      </c>
      <c r="E273" s="11" t="s">
        <v>523</v>
      </c>
      <c r="F273" s="11" t="s">
        <v>761</v>
      </c>
      <c r="G273" s="11">
        <v>9080</v>
      </c>
      <c r="H273" s="11">
        <f t="shared" si="8"/>
        <v>800</v>
      </c>
      <c r="I273" s="11">
        <f t="shared" si="9"/>
        <v>7264000</v>
      </c>
      <c r="J273" s="11" t="s">
        <v>776</v>
      </c>
    </row>
    <row r="274" spans="1:10" x14ac:dyDescent="0.35">
      <c r="A274" s="11" t="s">
        <v>766</v>
      </c>
      <c r="B274" s="11" t="s">
        <v>745</v>
      </c>
      <c r="C274" s="18" t="s">
        <v>40</v>
      </c>
      <c r="D274" s="18" t="s">
        <v>75</v>
      </c>
      <c r="E274" s="11" t="s">
        <v>163</v>
      </c>
      <c r="F274" s="11" t="s">
        <v>754</v>
      </c>
      <c r="G274" s="11">
        <v>8700</v>
      </c>
      <c r="H274" s="11">
        <f t="shared" si="8"/>
        <v>1440</v>
      </c>
      <c r="I274" s="11">
        <f t="shared" si="9"/>
        <v>12528000</v>
      </c>
      <c r="J274" s="11" t="s">
        <v>775</v>
      </c>
    </row>
    <row r="275" spans="1:10" x14ac:dyDescent="0.35">
      <c r="A275" s="11" t="s">
        <v>741</v>
      </c>
      <c r="B275" s="11" t="s">
        <v>751</v>
      </c>
      <c r="C275" s="18" t="s">
        <v>128</v>
      </c>
      <c r="D275" s="18" t="s">
        <v>129</v>
      </c>
      <c r="E275" s="11" t="s">
        <v>142</v>
      </c>
      <c r="F275" s="11" t="s">
        <v>754</v>
      </c>
      <c r="G275" s="11">
        <v>1436</v>
      </c>
      <c r="H275" s="11">
        <f t="shared" si="8"/>
        <v>550</v>
      </c>
      <c r="I275" s="11">
        <f t="shared" si="9"/>
        <v>789800</v>
      </c>
      <c r="J275" s="11" t="s">
        <v>775</v>
      </c>
    </row>
    <row r="276" spans="1:10" x14ac:dyDescent="0.35">
      <c r="A276" s="11" t="s">
        <v>753</v>
      </c>
      <c r="B276" s="11" t="s">
        <v>742</v>
      </c>
      <c r="C276" s="18" t="s">
        <v>12</v>
      </c>
      <c r="D276" s="18" t="s">
        <v>160</v>
      </c>
      <c r="E276" s="11" t="s">
        <v>174</v>
      </c>
      <c r="F276" s="11" t="s">
        <v>743</v>
      </c>
      <c r="G276" s="11">
        <v>4016</v>
      </c>
      <c r="H276" s="11">
        <f t="shared" si="8"/>
        <v>450</v>
      </c>
      <c r="I276" s="11">
        <f t="shared" si="9"/>
        <v>1807200</v>
      </c>
      <c r="J276" s="11" t="s">
        <v>775</v>
      </c>
    </row>
    <row r="277" spans="1:10" x14ac:dyDescent="0.35">
      <c r="A277" s="11" t="s">
        <v>765</v>
      </c>
      <c r="B277" s="11" t="s">
        <v>742</v>
      </c>
      <c r="C277" s="18" t="s">
        <v>65</v>
      </c>
      <c r="D277" s="18" t="s">
        <v>420</v>
      </c>
      <c r="E277" s="11" t="s">
        <v>421</v>
      </c>
      <c r="F277" s="11" t="s">
        <v>749</v>
      </c>
      <c r="G277" s="11">
        <v>3754</v>
      </c>
      <c r="H277" s="11">
        <f t="shared" si="8"/>
        <v>2000</v>
      </c>
      <c r="I277" s="11">
        <f t="shared" si="9"/>
        <v>7508000</v>
      </c>
      <c r="J277" s="11" t="s">
        <v>776</v>
      </c>
    </row>
    <row r="278" spans="1:10" x14ac:dyDescent="0.35">
      <c r="A278" s="11" t="s">
        <v>765</v>
      </c>
      <c r="B278" s="11" t="s">
        <v>742</v>
      </c>
      <c r="C278" s="18" t="s">
        <v>12</v>
      </c>
      <c r="D278" s="18" t="s">
        <v>278</v>
      </c>
      <c r="E278" s="11" t="s">
        <v>279</v>
      </c>
      <c r="F278" s="11" t="s">
        <v>749</v>
      </c>
      <c r="G278" s="11">
        <v>8299</v>
      </c>
      <c r="H278" s="11">
        <f t="shared" si="8"/>
        <v>2000</v>
      </c>
      <c r="I278" s="11">
        <f t="shared" si="9"/>
        <v>16598000</v>
      </c>
      <c r="J278" s="11" t="s">
        <v>775</v>
      </c>
    </row>
    <row r="279" spans="1:10" x14ac:dyDescent="0.35">
      <c r="A279" s="11" t="s">
        <v>750</v>
      </c>
      <c r="B279" s="11" t="s">
        <v>748</v>
      </c>
      <c r="C279" s="18" t="s">
        <v>40</v>
      </c>
      <c r="D279" s="18" t="s">
        <v>222</v>
      </c>
      <c r="E279" s="11" t="s">
        <v>505</v>
      </c>
      <c r="F279" s="11" t="s">
        <v>749</v>
      </c>
      <c r="G279" s="11">
        <v>3105</v>
      </c>
      <c r="H279" s="11">
        <f t="shared" si="8"/>
        <v>1500</v>
      </c>
      <c r="I279" s="11">
        <f t="shared" si="9"/>
        <v>4657500</v>
      </c>
      <c r="J279" s="11" t="s">
        <v>775</v>
      </c>
    </row>
    <row r="280" spans="1:10" x14ac:dyDescent="0.35">
      <c r="A280" s="11" t="s">
        <v>755</v>
      </c>
      <c r="B280" s="11" t="s">
        <v>742</v>
      </c>
      <c r="C280" s="18" t="s">
        <v>12</v>
      </c>
      <c r="D280" s="18" t="s">
        <v>547</v>
      </c>
      <c r="E280" s="11" t="s">
        <v>548</v>
      </c>
      <c r="F280" s="11" t="s">
        <v>767</v>
      </c>
      <c r="G280" s="11">
        <v>3307</v>
      </c>
      <c r="H280" s="11">
        <f t="shared" si="8"/>
        <v>1000</v>
      </c>
      <c r="I280" s="11">
        <f t="shared" si="9"/>
        <v>3307000</v>
      </c>
      <c r="J280" s="11" t="s">
        <v>775</v>
      </c>
    </row>
    <row r="281" spans="1:10" x14ac:dyDescent="0.35">
      <c r="A281" s="11" t="s">
        <v>760</v>
      </c>
      <c r="B281" s="11" t="s">
        <v>742</v>
      </c>
      <c r="C281" s="18" t="s">
        <v>12</v>
      </c>
      <c r="D281" s="18" t="s">
        <v>680</v>
      </c>
      <c r="E281" s="11" t="s">
        <v>681</v>
      </c>
      <c r="F281" s="11" t="s">
        <v>763</v>
      </c>
      <c r="G281" s="11">
        <v>1534</v>
      </c>
      <c r="H281" s="11">
        <f t="shared" si="8"/>
        <v>1600</v>
      </c>
      <c r="I281" s="11">
        <f t="shared" si="9"/>
        <v>2454400</v>
      </c>
      <c r="J281" s="11" t="s">
        <v>775</v>
      </c>
    </row>
    <row r="282" spans="1:10" x14ac:dyDescent="0.35">
      <c r="A282" s="11" t="s">
        <v>766</v>
      </c>
      <c r="B282" s="11" t="s">
        <v>751</v>
      </c>
      <c r="C282" s="18" t="s">
        <v>65</v>
      </c>
      <c r="D282" s="18" t="s">
        <v>562</v>
      </c>
      <c r="E282" s="11" t="s">
        <v>563</v>
      </c>
      <c r="F282" s="11" t="s">
        <v>767</v>
      </c>
      <c r="G282" s="11">
        <v>1660</v>
      </c>
      <c r="H282" s="11">
        <f t="shared" si="8"/>
        <v>1440</v>
      </c>
      <c r="I282" s="11">
        <f t="shared" si="9"/>
        <v>2390400</v>
      </c>
      <c r="J282" s="11" t="s">
        <v>776</v>
      </c>
    </row>
    <row r="283" spans="1:10" x14ac:dyDescent="0.35">
      <c r="A283" s="11" t="s">
        <v>765</v>
      </c>
      <c r="B283" s="11" t="s">
        <v>745</v>
      </c>
      <c r="C283" s="18" t="s">
        <v>317</v>
      </c>
      <c r="D283" s="18" t="s">
        <v>318</v>
      </c>
      <c r="E283" s="11" t="s">
        <v>435</v>
      </c>
      <c r="F283" s="11" t="s">
        <v>749</v>
      </c>
      <c r="G283" s="11">
        <v>968</v>
      </c>
      <c r="H283" s="11">
        <f t="shared" si="8"/>
        <v>2000</v>
      </c>
      <c r="I283" s="11">
        <f t="shared" si="9"/>
        <v>1936000</v>
      </c>
      <c r="J283" s="11" t="s">
        <v>775</v>
      </c>
    </row>
    <row r="284" spans="1:10" x14ac:dyDescent="0.35">
      <c r="A284" s="11" t="s">
        <v>744</v>
      </c>
      <c r="B284" s="11" t="s">
        <v>751</v>
      </c>
      <c r="C284" s="18" t="s">
        <v>40</v>
      </c>
      <c r="D284" s="18" t="s">
        <v>132</v>
      </c>
      <c r="E284" s="11" t="s">
        <v>415</v>
      </c>
      <c r="F284" s="11" t="s">
        <v>746</v>
      </c>
      <c r="G284" s="11">
        <v>3803</v>
      </c>
      <c r="H284" s="11">
        <f t="shared" si="8"/>
        <v>800</v>
      </c>
      <c r="I284" s="11">
        <f t="shared" si="9"/>
        <v>3042400</v>
      </c>
      <c r="J284" s="11" t="s">
        <v>776</v>
      </c>
    </row>
    <row r="285" spans="1:10" x14ac:dyDescent="0.35">
      <c r="A285" s="11" t="s">
        <v>764</v>
      </c>
      <c r="B285" s="11" t="s">
        <v>742</v>
      </c>
      <c r="C285" s="18" t="s">
        <v>215</v>
      </c>
      <c r="D285" s="18" t="s">
        <v>215</v>
      </c>
      <c r="E285" s="11" t="s">
        <v>508</v>
      </c>
      <c r="F285" s="11" t="s">
        <v>761</v>
      </c>
      <c r="G285" s="11">
        <v>3443</v>
      </c>
      <c r="H285" s="11">
        <f t="shared" si="8"/>
        <v>650</v>
      </c>
      <c r="I285" s="11">
        <f t="shared" si="9"/>
        <v>2237950</v>
      </c>
      <c r="J285" s="11" t="s">
        <v>775</v>
      </c>
    </row>
    <row r="286" spans="1:10" x14ac:dyDescent="0.35">
      <c r="A286" s="11" t="s">
        <v>762</v>
      </c>
      <c r="B286" s="11" t="s">
        <v>742</v>
      </c>
      <c r="C286" s="18" t="s">
        <v>12</v>
      </c>
      <c r="D286" s="18" t="s">
        <v>356</v>
      </c>
      <c r="E286" s="11" t="s">
        <v>448</v>
      </c>
      <c r="F286" s="11" t="s">
        <v>754</v>
      </c>
      <c r="G286" s="11">
        <v>9860</v>
      </c>
      <c r="H286" s="11">
        <f t="shared" si="8"/>
        <v>250</v>
      </c>
      <c r="I286" s="11">
        <f t="shared" si="9"/>
        <v>2465000</v>
      </c>
      <c r="J286" s="11" t="s">
        <v>775</v>
      </c>
    </row>
    <row r="287" spans="1:10" x14ac:dyDescent="0.35">
      <c r="A287" s="11" t="s">
        <v>760</v>
      </c>
      <c r="B287" s="11" t="s">
        <v>751</v>
      </c>
      <c r="C287" s="18" t="s">
        <v>192</v>
      </c>
      <c r="D287" s="18" t="s">
        <v>193</v>
      </c>
      <c r="E287" s="11" t="s">
        <v>349</v>
      </c>
      <c r="F287" s="11" t="s">
        <v>767</v>
      </c>
      <c r="G287" s="11">
        <v>6483</v>
      </c>
      <c r="H287" s="11">
        <f t="shared" si="8"/>
        <v>1600</v>
      </c>
      <c r="I287" s="11">
        <f t="shared" si="9"/>
        <v>10372800</v>
      </c>
      <c r="J287" s="11" t="s">
        <v>775</v>
      </c>
    </row>
    <row r="288" spans="1:10" x14ac:dyDescent="0.35">
      <c r="A288" s="11" t="s">
        <v>753</v>
      </c>
      <c r="B288" s="11" t="s">
        <v>745</v>
      </c>
      <c r="C288" s="18" t="s">
        <v>12</v>
      </c>
      <c r="D288" s="18" t="s">
        <v>400</v>
      </c>
      <c r="E288" s="11" t="s">
        <v>579</v>
      </c>
      <c r="F288" s="11" t="s">
        <v>759</v>
      </c>
      <c r="G288" s="11">
        <v>6408</v>
      </c>
      <c r="H288" s="11">
        <f t="shared" si="8"/>
        <v>450</v>
      </c>
      <c r="I288" s="11">
        <f t="shared" si="9"/>
        <v>2883600</v>
      </c>
      <c r="J288" s="11" t="s">
        <v>776</v>
      </c>
    </row>
    <row r="289" spans="1:10" ht="46.5" x14ac:dyDescent="0.35">
      <c r="A289" s="11" t="s">
        <v>765</v>
      </c>
      <c r="B289" s="11" t="s">
        <v>745</v>
      </c>
      <c r="C289" s="18" t="s">
        <v>12</v>
      </c>
      <c r="D289" s="18" t="s">
        <v>167</v>
      </c>
      <c r="E289" s="11" t="s">
        <v>275</v>
      </c>
      <c r="F289" s="11" t="s">
        <v>768</v>
      </c>
      <c r="G289" s="11">
        <v>8916</v>
      </c>
      <c r="H289" s="11">
        <f t="shared" si="8"/>
        <v>2000</v>
      </c>
      <c r="I289" s="11">
        <f t="shared" si="9"/>
        <v>17832000</v>
      </c>
      <c r="J289" s="11" t="s">
        <v>776</v>
      </c>
    </row>
    <row r="290" spans="1:10" x14ac:dyDescent="0.35">
      <c r="A290" s="11" t="s">
        <v>764</v>
      </c>
      <c r="B290" s="11" t="s">
        <v>751</v>
      </c>
      <c r="C290" s="18" t="s">
        <v>40</v>
      </c>
      <c r="D290" s="18" t="s">
        <v>59</v>
      </c>
      <c r="E290" s="11" t="s">
        <v>599</v>
      </c>
      <c r="F290" s="11" t="s">
        <v>749</v>
      </c>
      <c r="G290" s="11">
        <v>9261</v>
      </c>
      <c r="H290" s="11">
        <f t="shared" si="8"/>
        <v>650</v>
      </c>
      <c r="I290" s="11">
        <f t="shared" si="9"/>
        <v>6019650</v>
      </c>
      <c r="J290" s="11" t="s">
        <v>776</v>
      </c>
    </row>
    <row r="291" spans="1:10" x14ac:dyDescent="0.35">
      <c r="A291" s="11" t="s">
        <v>744</v>
      </c>
      <c r="B291" s="11" t="s">
        <v>745</v>
      </c>
      <c r="C291" s="18" t="s">
        <v>12</v>
      </c>
      <c r="D291" s="18" t="s">
        <v>13</v>
      </c>
      <c r="E291" s="11" t="s">
        <v>14</v>
      </c>
      <c r="F291" s="11" t="s">
        <v>746</v>
      </c>
      <c r="G291" s="11">
        <v>5559</v>
      </c>
      <c r="H291" s="11">
        <f t="shared" si="8"/>
        <v>800</v>
      </c>
      <c r="I291" s="11">
        <f t="shared" si="9"/>
        <v>4447200</v>
      </c>
      <c r="J291" s="11" t="s">
        <v>775</v>
      </c>
    </row>
    <row r="292" spans="1:10" x14ac:dyDescent="0.35">
      <c r="A292" s="11" t="s">
        <v>764</v>
      </c>
      <c r="B292" s="11" t="s">
        <v>748</v>
      </c>
      <c r="C292" s="18" t="s">
        <v>40</v>
      </c>
      <c r="D292" s="18" t="s">
        <v>41</v>
      </c>
      <c r="E292" s="11" t="s">
        <v>111</v>
      </c>
      <c r="F292" s="11" t="s">
        <v>752</v>
      </c>
      <c r="G292" s="11">
        <v>2877</v>
      </c>
      <c r="H292" s="11">
        <f t="shared" si="8"/>
        <v>650</v>
      </c>
      <c r="I292" s="11">
        <f t="shared" si="9"/>
        <v>1870050</v>
      </c>
      <c r="J292" s="11" t="s">
        <v>775</v>
      </c>
    </row>
    <row r="293" spans="1:10" x14ac:dyDescent="0.35">
      <c r="A293" s="11" t="s">
        <v>762</v>
      </c>
      <c r="B293" s="11" t="s">
        <v>748</v>
      </c>
      <c r="C293" s="18" t="s">
        <v>12</v>
      </c>
      <c r="D293" s="18" t="s">
        <v>44</v>
      </c>
      <c r="E293" s="11" t="s">
        <v>45</v>
      </c>
      <c r="F293" s="11" t="s">
        <v>763</v>
      </c>
      <c r="G293" s="11">
        <v>1386</v>
      </c>
      <c r="H293" s="11">
        <f t="shared" si="8"/>
        <v>250</v>
      </c>
      <c r="I293" s="11">
        <f t="shared" si="9"/>
        <v>346500</v>
      </c>
      <c r="J293" s="11" t="s">
        <v>776</v>
      </c>
    </row>
    <row r="294" spans="1:10" x14ac:dyDescent="0.35">
      <c r="A294" s="11" t="s">
        <v>750</v>
      </c>
      <c r="B294" s="11" t="s">
        <v>745</v>
      </c>
      <c r="C294" s="18" t="s">
        <v>617</v>
      </c>
      <c r="D294" s="18" t="s">
        <v>618</v>
      </c>
      <c r="E294" s="11" t="s">
        <v>619</v>
      </c>
      <c r="F294" s="11" t="s">
        <v>754</v>
      </c>
      <c r="G294" s="11">
        <v>609</v>
      </c>
      <c r="H294" s="11">
        <f t="shared" si="8"/>
        <v>1500</v>
      </c>
      <c r="I294" s="11">
        <f t="shared" si="9"/>
        <v>913500</v>
      </c>
      <c r="J294" s="11" t="s">
        <v>775</v>
      </c>
    </row>
    <row r="295" spans="1:10" ht="46.5" x14ac:dyDescent="0.35">
      <c r="A295" s="11" t="s">
        <v>762</v>
      </c>
      <c r="B295" s="11" t="s">
        <v>742</v>
      </c>
      <c r="C295" s="18" t="s">
        <v>119</v>
      </c>
      <c r="D295" s="18" t="s">
        <v>120</v>
      </c>
      <c r="E295" s="11" t="s">
        <v>121</v>
      </c>
      <c r="F295" s="11" t="s">
        <v>752</v>
      </c>
      <c r="G295" s="11">
        <v>2745</v>
      </c>
      <c r="H295" s="11">
        <f t="shared" si="8"/>
        <v>250</v>
      </c>
      <c r="I295" s="11">
        <f t="shared" si="9"/>
        <v>686250</v>
      </c>
      <c r="J295" s="11" t="s">
        <v>775</v>
      </c>
    </row>
    <row r="296" spans="1:10" ht="46.5" x14ac:dyDescent="0.35">
      <c r="A296" s="11" t="s">
        <v>741</v>
      </c>
      <c r="B296" s="11" t="s">
        <v>748</v>
      </c>
      <c r="C296" s="18" t="s">
        <v>89</v>
      </c>
      <c r="D296" s="18" t="s">
        <v>90</v>
      </c>
      <c r="E296" s="11" t="s">
        <v>366</v>
      </c>
      <c r="F296" s="11" t="s">
        <v>767</v>
      </c>
      <c r="G296" s="11">
        <v>2495</v>
      </c>
      <c r="H296" s="11">
        <f t="shared" si="8"/>
        <v>550</v>
      </c>
      <c r="I296" s="11">
        <f t="shared" si="9"/>
        <v>1372250</v>
      </c>
      <c r="J296" s="11" t="s">
        <v>776</v>
      </c>
    </row>
    <row r="297" spans="1:10" x14ac:dyDescent="0.35">
      <c r="A297" s="11" t="s">
        <v>765</v>
      </c>
      <c r="B297" s="11" t="s">
        <v>742</v>
      </c>
      <c r="C297" s="18" t="s">
        <v>12</v>
      </c>
      <c r="D297" s="18" t="s">
        <v>292</v>
      </c>
      <c r="E297" s="11" t="s">
        <v>539</v>
      </c>
      <c r="F297" s="11" t="s">
        <v>767</v>
      </c>
      <c r="G297" s="11">
        <v>7458</v>
      </c>
      <c r="H297" s="11">
        <f t="shared" si="8"/>
        <v>2000</v>
      </c>
      <c r="I297" s="11">
        <f t="shared" si="9"/>
        <v>14916000</v>
      </c>
      <c r="J297" s="11" t="s">
        <v>775</v>
      </c>
    </row>
    <row r="298" spans="1:10" x14ac:dyDescent="0.35">
      <c r="A298" s="11" t="s">
        <v>760</v>
      </c>
      <c r="B298" s="11" t="s">
        <v>742</v>
      </c>
      <c r="C298" s="18" t="s">
        <v>27</v>
      </c>
      <c r="D298" s="18" t="s">
        <v>28</v>
      </c>
      <c r="E298" s="11" t="s">
        <v>517</v>
      </c>
      <c r="F298" s="11" t="s">
        <v>759</v>
      </c>
      <c r="G298" s="11">
        <v>9077</v>
      </c>
      <c r="H298" s="11">
        <f t="shared" si="8"/>
        <v>1600</v>
      </c>
      <c r="I298" s="11">
        <f t="shared" si="9"/>
        <v>14523200</v>
      </c>
      <c r="J298" s="11" t="s">
        <v>775</v>
      </c>
    </row>
    <row r="299" spans="1:10" x14ac:dyDescent="0.35">
      <c r="A299" s="11" t="s">
        <v>750</v>
      </c>
      <c r="B299" s="11" t="s">
        <v>748</v>
      </c>
      <c r="C299" s="18" t="s">
        <v>266</v>
      </c>
      <c r="D299" s="18" t="s">
        <v>558</v>
      </c>
      <c r="E299" s="11" t="s">
        <v>559</v>
      </c>
      <c r="F299" s="11" t="s">
        <v>763</v>
      </c>
      <c r="G299" s="11">
        <v>4289</v>
      </c>
      <c r="H299" s="11">
        <f t="shared" si="8"/>
        <v>1500</v>
      </c>
      <c r="I299" s="11">
        <f t="shared" si="9"/>
        <v>6433500</v>
      </c>
      <c r="J299" s="11" t="s">
        <v>776</v>
      </c>
    </row>
    <row r="300" spans="1:10" x14ac:dyDescent="0.35">
      <c r="A300" s="11" t="s">
        <v>758</v>
      </c>
      <c r="B300" s="11" t="s">
        <v>745</v>
      </c>
      <c r="C300" s="18" t="s">
        <v>12</v>
      </c>
      <c r="D300" s="18" t="s">
        <v>331</v>
      </c>
      <c r="E300" s="11" t="s">
        <v>652</v>
      </c>
      <c r="F300" s="11" t="s">
        <v>767</v>
      </c>
      <c r="G300" s="11">
        <v>4437</v>
      </c>
      <c r="H300" s="11">
        <f t="shared" si="8"/>
        <v>150</v>
      </c>
      <c r="I300" s="11">
        <f t="shared" si="9"/>
        <v>665550</v>
      </c>
      <c r="J300" s="11" t="s">
        <v>776</v>
      </c>
    </row>
    <row r="301" spans="1:10" x14ac:dyDescent="0.35">
      <c r="A301" s="11" t="s">
        <v>766</v>
      </c>
      <c r="B301" s="11" t="s">
        <v>748</v>
      </c>
      <c r="C301" s="18" t="s">
        <v>40</v>
      </c>
      <c r="D301" s="18" t="s">
        <v>254</v>
      </c>
      <c r="E301" s="11" t="s">
        <v>690</v>
      </c>
      <c r="F301" s="11" t="s">
        <v>757</v>
      </c>
      <c r="G301" s="11">
        <v>1606</v>
      </c>
      <c r="H301" s="11">
        <f t="shared" si="8"/>
        <v>1440</v>
      </c>
      <c r="I301" s="11">
        <f t="shared" si="9"/>
        <v>2312640</v>
      </c>
      <c r="J301" s="11" t="s">
        <v>775</v>
      </c>
    </row>
    <row r="302" spans="1:10" x14ac:dyDescent="0.35">
      <c r="A302" s="11" t="s">
        <v>762</v>
      </c>
      <c r="B302" s="11" t="s">
        <v>748</v>
      </c>
      <c r="C302" s="18" t="s">
        <v>215</v>
      </c>
      <c r="D302" s="18" t="s">
        <v>215</v>
      </c>
      <c r="E302" s="11" t="s">
        <v>471</v>
      </c>
      <c r="F302" s="11" t="s">
        <v>761</v>
      </c>
      <c r="G302" s="11">
        <v>4907</v>
      </c>
      <c r="H302" s="11">
        <f t="shared" si="8"/>
        <v>250</v>
      </c>
      <c r="I302" s="11">
        <f t="shared" si="9"/>
        <v>1226750</v>
      </c>
      <c r="J302" s="11" t="s">
        <v>775</v>
      </c>
    </row>
    <row r="303" spans="1:10" x14ac:dyDescent="0.35">
      <c r="A303" s="11" t="s">
        <v>766</v>
      </c>
      <c r="B303" s="11" t="s">
        <v>751</v>
      </c>
      <c r="C303" s="18" t="s">
        <v>259</v>
      </c>
      <c r="D303" s="18" t="s">
        <v>260</v>
      </c>
      <c r="E303" s="11" t="s">
        <v>261</v>
      </c>
      <c r="F303" s="11" t="s">
        <v>749</v>
      </c>
      <c r="G303" s="11">
        <v>1011</v>
      </c>
      <c r="H303" s="11">
        <f t="shared" si="8"/>
        <v>1440</v>
      </c>
      <c r="I303" s="11">
        <f t="shared" si="9"/>
        <v>1455840</v>
      </c>
      <c r="J303" s="11" t="s">
        <v>775</v>
      </c>
    </row>
    <row r="304" spans="1:10" x14ac:dyDescent="0.35">
      <c r="A304" s="11" t="s">
        <v>764</v>
      </c>
      <c r="B304" s="11" t="s">
        <v>745</v>
      </c>
      <c r="C304" s="18" t="s">
        <v>40</v>
      </c>
      <c r="D304" s="18" t="s">
        <v>59</v>
      </c>
      <c r="E304" s="11" t="s">
        <v>304</v>
      </c>
      <c r="F304" s="11" t="s">
        <v>746</v>
      </c>
      <c r="G304" s="11">
        <v>8484</v>
      </c>
      <c r="H304" s="11">
        <f t="shared" si="8"/>
        <v>650</v>
      </c>
      <c r="I304" s="11">
        <f t="shared" si="9"/>
        <v>5514600</v>
      </c>
      <c r="J304" s="11" t="s">
        <v>775</v>
      </c>
    </row>
    <row r="305" spans="1:10" x14ac:dyDescent="0.35">
      <c r="A305" s="11" t="s">
        <v>765</v>
      </c>
      <c r="B305" s="11" t="s">
        <v>748</v>
      </c>
      <c r="C305" s="18" t="s">
        <v>12</v>
      </c>
      <c r="D305" s="18" t="s">
        <v>344</v>
      </c>
      <c r="E305" s="11" t="s">
        <v>345</v>
      </c>
      <c r="F305" s="11" t="s">
        <v>752</v>
      </c>
      <c r="G305" s="11">
        <v>6700</v>
      </c>
      <c r="H305" s="11">
        <f t="shared" si="8"/>
        <v>2000</v>
      </c>
      <c r="I305" s="11">
        <f t="shared" si="9"/>
        <v>13400000</v>
      </c>
      <c r="J305" s="11" t="s">
        <v>775</v>
      </c>
    </row>
    <row r="306" spans="1:10" x14ac:dyDescent="0.35">
      <c r="A306" s="11" t="s">
        <v>750</v>
      </c>
      <c r="B306" s="11" t="s">
        <v>751</v>
      </c>
      <c r="C306" s="18" t="s">
        <v>40</v>
      </c>
      <c r="D306" s="18" t="s">
        <v>254</v>
      </c>
      <c r="E306" s="11" t="s">
        <v>643</v>
      </c>
      <c r="F306" s="11" t="s">
        <v>754</v>
      </c>
      <c r="G306" s="11">
        <v>2402</v>
      </c>
      <c r="H306" s="11">
        <f t="shared" si="8"/>
        <v>1500</v>
      </c>
      <c r="I306" s="11">
        <f t="shared" si="9"/>
        <v>3603000</v>
      </c>
      <c r="J306" s="11" t="s">
        <v>776</v>
      </c>
    </row>
    <row r="307" spans="1:10" x14ac:dyDescent="0.35">
      <c r="A307" s="11" t="s">
        <v>766</v>
      </c>
      <c r="B307" s="11" t="s">
        <v>748</v>
      </c>
      <c r="C307" s="18" t="s">
        <v>12</v>
      </c>
      <c r="D307" s="18" t="s">
        <v>13</v>
      </c>
      <c r="E307" s="11" t="s">
        <v>55</v>
      </c>
      <c r="F307" s="11" t="s">
        <v>746</v>
      </c>
      <c r="G307" s="11">
        <v>7673</v>
      </c>
      <c r="H307" s="11">
        <f t="shared" si="8"/>
        <v>1440</v>
      </c>
      <c r="I307" s="11">
        <f t="shared" si="9"/>
        <v>11049120</v>
      </c>
      <c r="J307" s="11" t="s">
        <v>775</v>
      </c>
    </row>
    <row r="308" spans="1:10" x14ac:dyDescent="0.35">
      <c r="A308" s="11" t="s">
        <v>747</v>
      </c>
      <c r="B308" s="11" t="s">
        <v>751</v>
      </c>
      <c r="C308" s="18" t="s">
        <v>12</v>
      </c>
      <c r="D308" s="18" t="s">
        <v>33</v>
      </c>
      <c r="E308" s="11" t="s">
        <v>34</v>
      </c>
      <c r="F308" s="11" t="s">
        <v>749</v>
      </c>
      <c r="G308" s="11">
        <v>8592</v>
      </c>
      <c r="H308" s="11">
        <f t="shared" si="8"/>
        <v>700</v>
      </c>
      <c r="I308" s="11">
        <f t="shared" si="9"/>
        <v>6014400</v>
      </c>
      <c r="J308" s="11" t="s">
        <v>775</v>
      </c>
    </row>
    <row r="309" spans="1:10" x14ac:dyDescent="0.35">
      <c r="A309" s="11" t="s">
        <v>750</v>
      </c>
      <c r="B309" s="11" t="s">
        <v>745</v>
      </c>
      <c r="C309" s="18" t="s">
        <v>40</v>
      </c>
      <c r="D309" s="18" t="s">
        <v>232</v>
      </c>
      <c r="E309" s="11" t="s">
        <v>284</v>
      </c>
      <c r="F309" s="11" t="s">
        <v>752</v>
      </c>
      <c r="G309" s="11">
        <v>6946</v>
      </c>
      <c r="H309" s="11">
        <f t="shared" si="8"/>
        <v>1500</v>
      </c>
      <c r="I309" s="11">
        <f t="shared" si="9"/>
        <v>10419000</v>
      </c>
      <c r="J309" s="11" t="s">
        <v>776</v>
      </c>
    </row>
    <row r="310" spans="1:10" x14ac:dyDescent="0.35">
      <c r="A310" s="11" t="s">
        <v>750</v>
      </c>
      <c r="B310" s="11" t="s">
        <v>742</v>
      </c>
      <c r="C310" s="18" t="s">
        <v>24</v>
      </c>
      <c r="D310" s="18" t="s">
        <v>25</v>
      </c>
      <c r="E310" s="11" t="s">
        <v>615</v>
      </c>
      <c r="F310" s="11" t="s">
        <v>761</v>
      </c>
      <c r="G310" s="11">
        <v>7187</v>
      </c>
      <c r="H310" s="11">
        <f t="shared" si="8"/>
        <v>1500</v>
      </c>
      <c r="I310" s="11">
        <f t="shared" si="9"/>
        <v>10780500</v>
      </c>
      <c r="J310" s="11" t="s">
        <v>775</v>
      </c>
    </row>
    <row r="311" spans="1:10" x14ac:dyDescent="0.35">
      <c r="A311" s="11" t="s">
        <v>753</v>
      </c>
      <c r="B311" s="11" t="s">
        <v>745</v>
      </c>
      <c r="C311" s="18" t="s">
        <v>12</v>
      </c>
      <c r="D311" s="18" t="s">
        <v>145</v>
      </c>
      <c r="E311" s="11" t="s">
        <v>146</v>
      </c>
      <c r="F311" s="11" t="s">
        <v>756</v>
      </c>
      <c r="G311" s="11">
        <v>1044</v>
      </c>
      <c r="H311" s="11">
        <f t="shared" si="8"/>
        <v>450</v>
      </c>
      <c r="I311" s="11">
        <f t="shared" si="9"/>
        <v>469800</v>
      </c>
      <c r="J311" s="11" t="s">
        <v>776</v>
      </c>
    </row>
    <row r="312" spans="1:10" x14ac:dyDescent="0.35">
      <c r="A312" s="11" t="s">
        <v>747</v>
      </c>
      <c r="B312" s="11" t="s">
        <v>742</v>
      </c>
      <c r="C312" s="18" t="s">
        <v>206</v>
      </c>
      <c r="D312" s="18" t="s">
        <v>207</v>
      </c>
      <c r="E312" s="11" t="s">
        <v>240</v>
      </c>
      <c r="F312" s="11" t="s">
        <v>743</v>
      </c>
      <c r="G312" s="11">
        <v>2768</v>
      </c>
      <c r="H312" s="11">
        <f t="shared" si="8"/>
        <v>700</v>
      </c>
      <c r="I312" s="11">
        <f t="shared" si="9"/>
        <v>1937600</v>
      </c>
      <c r="J312" s="11" t="s">
        <v>776</v>
      </c>
    </row>
    <row r="313" spans="1:10" x14ac:dyDescent="0.35">
      <c r="A313" s="11" t="s">
        <v>741</v>
      </c>
      <c r="B313" s="11" t="s">
        <v>742</v>
      </c>
      <c r="C313" s="18" t="s">
        <v>52</v>
      </c>
      <c r="D313" s="18" t="s">
        <v>339</v>
      </c>
      <c r="E313" s="11" t="s">
        <v>363</v>
      </c>
      <c r="F313" s="11" t="s">
        <v>761</v>
      </c>
      <c r="G313" s="11">
        <v>8480</v>
      </c>
      <c r="H313" s="11">
        <f t="shared" si="8"/>
        <v>550</v>
      </c>
      <c r="I313" s="11">
        <f t="shared" si="9"/>
        <v>4664000</v>
      </c>
      <c r="J313" s="11" t="s">
        <v>775</v>
      </c>
    </row>
    <row r="314" spans="1:10" x14ac:dyDescent="0.35">
      <c r="A314" s="11" t="s">
        <v>765</v>
      </c>
      <c r="B314" s="11" t="s">
        <v>745</v>
      </c>
      <c r="C314" s="18" t="s">
        <v>12</v>
      </c>
      <c r="D314" s="18" t="s">
        <v>356</v>
      </c>
      <c r="E314" s="11" t="s">
        <v>357</v>
      </c>
      <c r="F314" s="11" t="s">
        <v>756</v>
      </c>
      <c r="G314" s="11">
        <v>724</v>
      </c>
      <c r="H314" s="11">
        <f t="shared" si="8"/>
        <v>2000</v>
      </c>
      <c r="I314" s="11">
        <f t="shared" si="9"/>
        <v>1448000</v>
      </c>
      <c r="J314" s="11" t="s">
        <v>776</v>
      </c>
    </row>
    <row r="315" spans="1:10" x14ac:dyDescent="0.35">
      <c r="A315" s="11" t="s">
        <v>760</v>
      </c>
      <c r="B315" s="11" t="s">
        <v>745</v>
      </c>
      <c r="C315" s="18" t="s">
        <v>61</v>
      </c>
      <c r="D315" s="18" t="s">
        <v>715</v>
      </c>
      <c r="E315" s="11" t="s">
        <v>716</v>
      </c>
      <c r="F315" s="11" t="s">
        <v>746</v>
      </c>
      <c r="G315" s="11">
        <v>3181</v>
      </c>
      <c r="H315" s="11">
        <f t="shared" si="8"/>
        <v>1600</v>
      </c>
      <c r="I315" s="11">
        <f t="shared" si="9"/>
        <v>5089600</v>
      </c>
      <c r="J315" s="11" t="s">
        <v>775</v>
      </c>
    </row>
    <row r="316" spans="1:10" x14ac:dyDescent="0.35">
      <c r="A316" s="11" t="s">
        <v>762</v>
      </c>
      <c r="B316" s="11" t="s">
        <v>742</v>
      </c>
      <c r="C316" s="18" t="s">
        <v>114</v>
      </c>
      <c r="D316" s="18" t="s">
        <v>115</v>
      </c>
      <c r="E316" s="11" t="s">
        <v>116</v>
      </c>
      <c r="F316" s="11" t="s">
        <v>752</v>
      </c>
      <c r="G316" s="11">
        <v>9978</v>
      </c>
      <c r="H316" s="11">
        <f t="shared" si="8"/>
        <v>250</v>
      </c>
      <c r="I316" s="11">
        <f t="shared" si="9"/>
        <v>2494500</v>
      </c>
      <c r="J316" s="11" t="s">
        <v>775</v>
      </c>
    </row>
    <row r="317" spans="1:10" ht="46.5" x14ac:dyDescent="0.35">
      <c r="A317" s="11" t="s">
        <v>764</v>
      </c>
      <c r="B317" s="11" t="s">
        <v>745</v>
      </c>
      <c r="C317" s="18" t="s">
        <v>61</v>
      </c>
      <c r="D317" s="18" t="s">
        <v>186</v>
      </c>
      <c r="E317" s="11" t="s">
        <v>187</v>
      </c>
      <c r="F317" s="11" t="s">
        <v>756</v>
      </c>
      <c r="G317" s="11">
        <v>4163</v>
      </c>
      <c r="H317" s="11">
        <f t="shared" si="8"/>
        <v>650</v>
      </c>
      <c r="I317" s="11">
        <f t="shared" si="9"/>
        <v>2705950</v>
      </c>
      <c r="J317" s="11" t="s">
        <v>775</v>
      </c>
    </row>
    <row r="318" spans="1:10" x14ac:dyDescent="0.35">
      <c r="A318" s="11" t="s">
        <v>750</v>
      </c>
      <c r="B318" s="11" t="s">
        <v>751</v>
      </c>
      <c r="C318" s="18" t="s">
        <v>9</v>
      </c>
      <c r="D318" s="18" t="s">
        <v>10</v>
      </c>
      <c r="E318" s="11" t="s">
        <v>416</v>
      </c>
      <c r="F318" s="11" t="s">
        <v>743</v>
      </c>
      <c r="G318" s="11">
        <v>3437</v>
      </c>
      <c r="H318" s="11">
        <f t="shared" si="8"/>
        <v>1500</v>
      </c>
      <c r="I318" s="11">
        <f t="shared" si="9"/>
        <v>5155500</v>
      </c>
      <c r="J318" s="11" t="s">
        <v>775</v>
      </c>
    </row>
    <row r="319" spans="1:10" x14ac:dyDescent="0.35">
      <c r="A319" s="11" t="s">
        <v>766</v>
      </c>
      <c r="B319" s="11" t="s">
        <v>742</v>
      </c>
      <c r="C319" s="18" t="s">
        <v>12</v>
      </c>
      <c r="D319" s="18" t="s">
        <v>33</v>
      </c>
      <c r="E319" s="11" t="s">
        <v>247</v>
      </c>
      <c r="F319" s="11" t="s">
        <v>754</v>
      </c>
      <c r="G319" s="11">
        <v>3132</v>
      </c>
      <c r="H319" s="11">
        <f t="shared" si="8"/>
        <v>1440</v>
      </c>
      <c r="I319" s="11">
        <f t="shared" si="9"/>
        <v>4510080</v>
      </c>
      <c r="J319" s="11" t="s">
        <v>776</v>
      </c>
    </row>
    <row r="320" spans="1:10" x14ac:dyDescent="0.35">
      <c r="A320" s="11" t="s">
        <v>744</v>
      </c>
      <c r="B320" s="11" t="s">
        <v>745</v>
      </c>
      <c r="C320" s="18" t="s">
        <v>27</v>
      </c>
      <c r="D320" s="18" t="s">
        <v>139</v>
      </c>
      <c r="E320" s="11" t="s">
        <v>140</v>
      </c>
      <c r="F320" s="11" t="s">
        <v>752</v>
      </c>
      <c r="G320" s="11">
        <v>7252</v>
      </c>
      <c r="H320" s="11">
        <f t="shared" si="8"/>
        <v>800</v>
      </c>
      <c r="I320" s="11">
        <f t="shared" si="9"/>
        <v>5801600</v>
      </c>
      <c r="J320" s="11" t="s">
        <v>775</v>
      </c>
    </row>
    <row r="321" spans="1:10" x14ac:dyDescent="0.35">
      <c r="A321" s="11" t="s">
        <v>764</v>
      </c>
      <c r="B321" s="11" t="s">
        <v>751</v>
      </c>
      <c r="C321" s="18" t="s">
        <v>40</v>
      </c>
      <c r="D321" s="18" t="s">
        <v>75</v>
      </c>
      <c r="E321" s="11" t="s">
        <v>212</v>
      </c>
      <c r="F321" s="11" t="s">
        <v>752</v>
      </c>
      <c r="G321" s="11">
        <v>9519</v>
      </c>
      <c r="H321" s="11">
        <f t="shared" si="8"/>
        <v>650</v>
      </c>
      <c r="I321" s="11">
        <f t="shared" si="9"/>
        <v>6187350</v>
      </c>
      <c r="J321" s="11" t="s">
        <v>775</v>
      </c>
    </row>
    <row r="322" spans="1:10" x14ac:dyDescent="0.35">
      <c r="A322" s="11" t="s">
        <v>753</v>
      </c>
      <c r="B322" s="11" t="s">
        <v>748</v>
      </c>
      <c r="C322" s="18" t="s">
        <v>12</v>
      </c>
      <c r="D322" s="18" t="s">
        <v>22</v>
      </c>
      <c r="E322" s="11" t="s">
        <v>258</v>
      </c>
      <c r="F322" s="11" t="s">
        <v>746</v>
      </c>
      <c r="G322" s="11">
        <v>2064</v>
      </c>
      <c r="H322" s="11">
        <f t="shared" si="8"/>
        <v>450</v>
      </c>
      <c r="I322" s="11">
        <f t="shared" si="9"/>
        <v>928800</v>
      </c>
      <c r="J322" s="11" t="s">
        <v>775</v>
      </c>
    </row>
    <row r="323" spans="1:10" x14ac:dyDescent="0.35">
      <c r="A323" s="11" t="s">
        <v>753</v>
      </c>
      <c r="B323" s="11" t="s">
        <v>742</v>
      </c>
      <c r="C323" s="18" t="s">
        <v>12</v>
      </c>
      <c r="D323" s="18" t="s">
        <v>22</v>
      </c>
      <c r="E323" s="11" t="s">
        <v>436</v>
      </c>
      <c r="F323" s="11" t="s">
        <v>759</v>
      </c>
      <c r="G323" s="11">
        <v>7824</v>
      </c>
      <c r="H323" s="11">
        <f t="shared" si="8"/>
        <v>450</v>
      </c>
      <c r="I323" s="11">
        <f t="shared" si="9"/>
        <v>3520800</v>
      </c>
      <c r="J323" s="11" t="s">
        <v>776</v>
      </c>
    </row>
    <row r="324" spans="1:10" x14ac:dyDescent="0.35">
      <c r="A324" s="11" t="s">
        <v>747</v>
      </c>
      <c r="B324" s="11" t="s">
        <v>745</v>
      </c>
      <c r="C324" s="18" t="s">
        <v>40</v>
      </c>
      <c r="D324" s="18" t="s">
        <v>398</v>
      </c>
      <c r="E324" s="11" t="s">
        <v>399</v>
      </c>
      <c r="F324" s="11" t="s">
        <v>767</v>
      </c>
      <c r="G324" s="11">
        <v>8449</v>
      </c>
      <c r="H324" s="11">
        <f t="shared" si="8"/>
        <v>700</v>
      </c>
      <c r="I324" s="11">
        <f t="shared" si="9"/>
        <v>5914300</v>
      </c>
      <c r="J324" s="11" t="s">
        <v>775</v>
      </c>
    </row>
    <row r="325" spans="1:10" x14ac:dyDescent="0.35">
      <c r="A325" s="11" t="s">
        <v>753</v>
      </c>
      <c r="B325" s="11" t="s">
        <v>745</v>
      </c>
      <c r="C325" s="18" t="s">
        <v>12</v>
      </c>
      <c r="D325" s="18" t="s">
        <v>256</v>
      </c>
      <c r="E325" s="11" t="s">
        <v>257</v>
      </c>
      <c r="F325" s="11" t="s">
        <v>743</v>
      </c>
      <c r="G325" s="11">
        <v>5892</v>
      </c>
      <c r="H325" s="11">
        <f t="shared" ref="H325:H388" si="10">IF(A325="Paracetamol",550,IF(A325="Fluconazole",800,IF(A325="Metformin",700,IF(A325="Diclofenac",1500,IF(A325="Dolo",450,IF(A325="Sumo",1000,IF(A325="Calpol",1600,IF(A325="Lbuprofen",250,IF(A325="Azithroycin",650,IF(A325="Amoxicillin",2000,IF(A325="Omeprazole",1440,IF(A325="Centirizin",150))))))))))))</f>
        <v>450</v>
      </c>
      <c r="I325" s="11">
        <f t="shared" ref="I325:I388" si="11">G325*H325</f>
        <v>2651400</v>
      </c>
      <c r="J325" s="11" t="s">
        <v>775</v>
      </c>
    </row>
    <row r="326" spans="1:10" x14ac:dyDescent="0.35">
      <c r="A326" s="11" t="s">
        <v>766</v>
      </c>
      <c r="B326" s="11" t="s">
        <v>748</v>
      </c>
      <c r="C326" s="18" t="s">
        <v>12</v>
      </c>
      <c r="D326" s="18" t="s">
        <v>117</v>
      </c>
      <c r="E326" s="11" t="s">
        <v>521</v>
      </c>
      <c r="F326" s="11" t="s">
        <v>761</v>
      </c>
      <c r="G326" s="11">
        <v>7665</v>
      </c>
      <c r="H326" s="11">
        <f t="shared" si="10"/>
        <v>1440</v>
      </c>
      <c r="I326" s="11">
        <f t="shared" si="11"/>
        <v>11037600</v>
      </c>
      <c r="J326" s="11" t="s">
        <v>775</v>
      </c>
    </row>
    <row r="327" spans="1:10" x14ac:dyDescent="0.35">
      <c r="A327" s="11" t="s">
        <v>741</v>
      </c>
      <c r="B327" s="11" t="s">
        <v>742</v>
      </c>
      <c r="C327" s="18" t="s">
        <v>266</v>
      </c>
      <c r="D327" s="18" t="s">
        <v>267</v>
      </c>
      <c r="E327" s="11" t="s">
        <v>705</v>
      </c>
      <c r="F327" s="11" t="s">
        <v>752</v>
      </c>
      <c r="G327" s="11">
        <v>1142</v>
      </c>
      <c r="H327" s="11">
        <f t="shared" si="10"/>
        <v>550</v>
      </c>
      <c r="I327" s="11">
        <f t="shared" si="11"/>
        <v>628100</v>
      </c>
      <c r="J327" s="11" t="s">
        <v>775</v>
      </c>
    </row>
    <row r="328" spans="1:10" x14ac:dyDescent="0.35">
      <c r="A328" s="11" t="s">
        <v>747</v>
      </c>
      <c r="B328" s="11" t="s">
        <v>751</v>
      </c>
      <c r="C328" s="18" t="s">
        <v>40</v>
      </c>
      <c r="D328" s="18" t="s">
        <v>364</v>
      </c>
      <c r="E328" s="11" t="s">
        <v>607</v>
      </c>
      <c r="F328" s="11" t="s">
        <v>756</v>
      </c>
      <c r="G328" s="11">
        <v>690</v>
      </c>
      <c r="H328" s="11">
        <f t="shared" si="10"/>
        <v>700</v>
      </c>
      <c r="I328" s="11">
        <f t="shared" si="11"/>
        <v>483000</v>
      </c>
      <c r="J328" s="11" t="s">
        <v>776</v>
      </c>
    </row>
    <row r="329" spans="1:10" x14ac:dyDescent="0.35">
      <c r="A329" s="11" t="s">
        <v>760</v>
      </c>
      <c r="B329" s="11" t="s">
        <v>742</v>
      </c>
      <c r="C329" s="18" t="s">
        <v>12</v>
      </c>
      <c r="D329" s="18" t="s">
        <v>50</v>
      </c>
      <c r="E329" s="11" t="s">
        <v>51</v>
      </c>
      <c r="F329" s="11" t="s">
        <v>763</v>
      </c>
      <c r="G329" s="11">
        <v>5444</v>
      </c>
      <c r="H329" s="11">
        <f t="shared" si="10"/>
        <v>1600</v>
      </c>
      <c r="I329" s="11">
        <f t="shared" si="11"/>
        <v>8710400</v>
      </c>
      <c r="J329" s="11" t="s">
        <v>776</v>
      </c>
    </row>
    <row r="330" spans="1:10" x14ac:dyDescent="0.35">
      <c r="A330" s="11" t="s">
        <v>747</v>
      </c>
      <c r="B330" s="11" t="s">
        <v>751</v>
      </c>
      <c r="C330" s="18" t="s">
        <v>12</v>
      </c>
      <c r="D330" s="18" t="s">
        <v>500</v>
      </c>
      <c r="E330" s="11" t="s">
        <v>501</v>
      </c>
      <c r="F330" s="11" t="s">
        <v>752</v>
      </c>
      <c r="G330" s="11">
        <v>4654</v>
      </c>
      <c r="H330" s="11">
        <f t="shared" si="10"/>
        <v>700</v>
      </c>
      <c r="I330" s="11">
        <f t="shared" si="11"/>
        <v>3257800</v>
      </c>
      <c r="J330" s="11" t="s">
        <v>775</v>
      </c>
    </row>
    <row r="331" spans="1:10" ht="46.5" x14ac:dyDescent="0.35">
      <c r="A331" s="11" t="s">
        <v>744</v>
      </c>
      <c r="B331" s="11" t="s">
        <v>745</v>
      </c>
      <c r="C331" s="18" t="s">
        <v>12</v>
      </c>
      <c r="D331" s="18" t="s">
        <v>696</v>
      </c>
      <c r="E331" s="11" t="s">
        <v>697</v>
      </c>
      <c r="F331" s="11" t="s">
        <v>768</v>
      </c>
      <c r="G331" s="11">
        <v>5538</v>
      </c>
      <c r="H331" s="11">
        <f t="shared" si="10"/>
        <v>800</v>
      </c>
      <c r="I331" s="11">
        <f t="shared" si="11"/>
        <v>4430400</v>
      </c>
      <c r="J331" s="11" t="s">
        <v>776</v>
      </c>
    </row>
    <row r="332" spans="1:10" x14ac:dyDescent="0.35">
      <c r="A332" s="11" t="s">
        <v>760</v>
      </c>
      <c r="B332" s="11" t="s">
        <v>748</v>
      </c>
      <c r="C332" s="18" t="s">
        <v>12</v>
      </c>
      <c r="D332" s="18" t="s">
        <v>237</v>
      </c>
      <c r="E332" s="11" t="s">
        <v>238</v>
      </c>
      <c r="F332" s="11" t="s">
        <v>759</v>
      </c>
      <c r="G332" s="11">
        <v>9712</v>
      </c>
      <c r="H332" s="11">
        <f t="shared" si="10"/>
        <v>1600</v>
      </c>
      <c r="I332" s="11">
        <f t="shared" si="11"/>
        <v>15539200</v>
      </c>
      <c r="J332" s="11" t="s">
        <v>776</v>
      </c>
    </row>
    <row r="333" spans="1:10" x14ac:dyDescent="0.35">
      <c r="A333" s="11" t="s">
        <v>750</v>
      </c>
      <c r="B333" s="11" t="s">
        <v>745</v>
      </c>
      <c r="C333" s="18" t="s">
        <v>12</v>
      </c>
      <c r="D333" s="18" t="s">
        <v>22</v>
      </c>
      <c r="E333" s="11" t="s">
        <v>463</v>
      </c>
      <c r="F333" s="11" t="s">
        <v>756</v>
      </c>
      <c r="G333" s="11">
        <v>949</v>
      </c>
      <c r="H333" s="11">
        <f t="shared" si="10"/>
        <v>1500</v>
      </c>
      <c r="I333" s="11">
        <f t="shared" si="11"/>
        <v>1423500</v>
      </c>
      <c r="J333" s="11" t="s">
        <v>776</v>
      </c>
    </row>
    <row r="334" spans="1:10" x14ac:dyDescent="0.35">
      <c r="A334" s="11" t="s">
        <v>760</v>
      </c>
      <c r="B334" s="11" t="s">
        <v>745</v>
      </c>
      <c r="C334" s="18" t="s">
        <v>35</v>
      </c>
      <c r="D334" s="18" t="s">
        <v>36</v>
      </c>
      <c r="E334" s="11" t="s">
        <v>37</v>
      </c>
      <c r="F334" s="11" t="s">
        <v>749</v>
      </c>
      <c r="G334" s="11">
        <v>3590</v>
      </c>
      <c r="H334" s="11">
        <f t="shared" si="10"/>
        <v>1600</v>
      </c>
      <c r="I334" s="11">
        <f t="shared" si="11"/>
        <v>5744000</v>
      </c>
      <c r="J334" s="11" t="s">
        <v>776</v>
      </c>
    </row>
    <row r="335" spans="1:10" x14ac:dyDescent="0.35">
      <c r="A335" s="11" t="s">
        <v>744</v>
      </c>
      <c r="B335" s="11" t="s">
        <v>751</v>
      </c>
      <c r="C335" s="18" t="s">
        <v>12</v>
      </c>
      <c r="D335" s="18" t="s">
        <v>525</v>
      </c>
      <c r="E335" s="11" t="s">
        <v>640</v>
      </c>
      <c r="F335" s="11" t="s">
        <v>743</v>
      </c>
      <c r="G335" s="11">
        <v>3383</v>
      </c>
      <c r="H335" s="11">
        <f t="shared" si="10"/>
        <v>800</v>
      </c>
      <c r="I335" s="11">
        <f t="shared" si="11"/>
        <v>2706400</v>
      </c>
      <c r="J335" s="11" t="s">
        <v>776</v>
      </c>
    </row>
    <row r="336" spans="1:10" ht="46.5" x14ac:dyDescent="0.35">
      <c r="A336" s="11" t="s">
        <v>755</v>
      </c>
      <c r="B336" s="11" t="s">
        <v>751</v>
      </c>
      <c r="C336" s="18" t="s">
        <v>89</v>
      </c>
      <c r="D336" s="18" t="s">
        <v>90</v>
      </c>
      <c r="E336" s="11" t="s">
        <v>211</v>
      </c>
      <c r="F336" s="11" t="s">
        <v>757</v>
      </c>
      <c r="G336" s="11">
        <v>4085</v>
      </c>
      <c r="H336" s="11">
        <f t="shared" si="10"/>
        <v>1000</v>
      </c>
      <c r="I336" s="11">
        <f t="shared" si="11"/>
        <v>4085000</v>
      </c>
      <c r="J336" s="11" t="s">
        <v>776</v>
      </c>
    </row>
    <row r="337" spans="1:10" x14ac:dyDescent="0.35">
      <c r="A337" s="11" t="s">
        <v>747</v>
      </c>
      <c r="B337" s="11" t="s">
        <v>751</v>
      </c>
      <c r="C337" s="18" t="s">
        <v>12</v>
      </c>
      <c r="D337" s="18" t="s">
        <v>494</v>
      </c>
      <c r="E337" s="11" t="s">
        <v>495</v>
      </c>
      <c r="F337" s="11" t="s">
        <v>761</v>
      </c>
      <c r="G337" s="11">
        <v>5057</v>
      </c>
      <c r="H337" s="11">
        <f t="shared" si="10"/>
        <v>700</v>
      </c>
      <c r="I337" s="11">
        <f t="shared" si="11"/>
        <v>3539900</v>
      </c>
      <c r="J337" s="11" t="s">
        <v>776</v>
      </c>
    </row>
    <row r="338" spans="1:10" x14ac:dyDescent="0.35">
      <c r="A338" s="11" t="s">
        <v>747</v>
      </c>
      <c r="B338" s="11" t="s">
        <v>745</v>
      </c>
      <c r="C338" s="18" t="s">
        <v>128</v>
      </c>
      <c r="D338" s="18" t="s">
        <v>129</v>
      </c>
      <c r="E338" s="11" t="s">
        <v>130</v>
      </c>
      <c r="F338" s="11" t="s">
        <v>761</v>
      </c>
      <c r="G338" s="11">
        <v>4484</v>
      </c>
      <c r="H338" s="11">
        <f t="shared" si="10"/>
        <v>700</v>
      </c>
      <c r="I338" s="11">
        <f t="shared" si="11"/>
        <v>3138800</v>
      </c>
      <c r="J338" s="11" t="s">
        <v>775</v>
      </c>
    </row>
    <row r="339" spans="1:10" ht="46.5" x14ac:dyDescent="0.35">
      <c r="A339" s="11" t="s">
        <v>755</v>
      </c>
      <c r="B339" s="11" t="s">
        <v>745</v>
      </c>
      <c r="C339" s="18" t="s">
        <v>119</v>
      </c>
      <c r="D339" s="18" t="s">
        <v>249</v>
      </c>
      <c r="E339" s="11" t="s">
        <v>250</v>
      </c>
      <c r="F339" s="11" t="s">
        <v>757</v>
      </c>
      <c r="G339" s="11">
        <v>7962</v>
      </c>
      <c r="H339" s="11">
        <f t="shared" si="10"/>
        <v>1000</v>
      </c>
      <c r="I339" s="11">
        <f t="shared" si="11"/>
        <v>7962000</v>
      </c>
      <c r="J339" s="11" t="s">
        <v>776</v>
      </c>
    </row>
    <row r="340" spans="1:10" x14ac:dyDescent="0.35">
      <c r="A340" s="11" t="s">
        <v>760</v>
      </c>
      <c r="B340" s="11" t="s">
        <v>742</v>
      </c>
      <c r="C340" s="18" t="s">
        <v>12</v>
      </c>
      <c r="D340" s="18" t="s">
        <v>344</v>
      </c>
      <c r="E340" s="11" t="s">
        <v>683</v>
      </c>
      <c r="F340" s="11" t="s">
        <v>761</v>
      </c>
      <c r="G340" s="11">
        <v>1944</v>
      </c>
      <c r="H340" s="11">
        <f t="shared" si="10"/>
        <v>1600</v>
      </c>
      <c r="I340" s="11">
        <f t="shared" si="11"/>
        <v>3110400</v>
      </c>
      <c r="J340" s="11" t="s">
        <v>775</v>
      </c>
    </row>
    <row r="341" spans="1:10" x14ac:dyDescent="0.35">
      <c r="A341" s="11" t="s">
        <v>744</v>
      </c>
      <c r="B341" s="11" t="s">
        <v>751</v>
      </c>
      <c r="C341" s="18" t="s">
        <v>40</v>
      </c>
      <c r="D341" s="18" t="s">
        <v>431</v>
      </c>
      <c r="E341" s="11" t="s">
        <v>468</v>
      </c>
      <c r="F341" s="11" t="s">
        <v>759</v>
      </c>
      <c r="G341" s="11">
        <v>7958</v>
      </c>
      <c r="H341" s="11">
        <f t="shared" si="10"/>
        <v>800</v>
      </c>
      <c r="I341" s="11">
        <f t="shared" si="11"/>
        <v>6366400</v>
      </c>
      <c r="J341" s="11" t="s">
        <v>775</v>
      </c>
    </row>
    <row r="342" spans="1:10" x14ac:dyDescent="0.35">
      <c r="A342" s="11" t="s">
        <v>747</v>
      </c>
      <c r="B342" s="11" t="s">
        <v>742</v>
      </c>
      <c r="C342" s="18" t="s">
        <v>12</v>
      </c>
      <c r="D342" s="18" t="s">
        <v>181</v>
      </c>
      <c r="E342" s="11" t="s">
        <v>182</v>
      </c>
      <c r="F342" s="11" t="s">
        <v>752</v>
      </c>
      <c r="G342" s="11">
        <v>5521</v>
      </c>
      <c r="H342" s="11">
        <f t="shared" si="10"/>
        <v>700</v>
      </c>
      <c r="I342" s="11">
        <f t="shared" si="11"/>
        <v>3864700</v>
      </c>
      <c r="J342" s="11" t="s">
        <v>776</v>
      </c>
    </row>
    <row r="343" spans="1:10" x14ac:dyDescent="0.35">
      <c r="A343" s="11" t="s">
        <v>755</v>
      </c>
      <c r="B343" s="11" t="s">
        <v>742</v>
      </c>
      <c r="C343" s="18" t="s">
        <v>12</v>
      </c>
      <c r="D343" s="18" t="s">
        <v>590</v>
      </c>
      <c r="E343" s="11" t="s">
        <v>591</v>
      </c>
      <c r="F343" s="11" t="s">
        <v>761</v>
      </c>
      <c r="G343" s="11">
        <v>7414</v>
      </c>
      <c r="H343" s="11">
        <f t="shared" si="10"/>
        <v>1000</v>
      </c>
      <c r="I343" s="11">
        <f t="shared" si="11"/>
        <v>7414000</v>
      </c>
      <c r="J343" s="11" t="s">
        <v>775</v>
      </c>
    </row>
    <row r="344" spans="1:10" x14ac:dyDescent="0.35">
      <c r="A344" s="11" t="s">
        <v>758</v>
      </c>
      <c r="B344" s="11" t="s">
        <v>745</v>
      </c>
      <c r="C344" s="18" t="s">
        <v>486</v>
      </c>
      <c r="D344" s="18" t="s">
        <v>487</v>
      </c>
      <c r="E344" s="11" t="s">
        <v>488</v>
      </c>
      <c r="F344" s="11" t="s">
        <v>761</v>
      </c>
      <c r="G344" s="11">
        <v>8675</v>
      </c>
      <c r="H344" s="11">
        <f t="shared" si="10"/>
        <v>150</v>
      </c>
      <c r="I344" s="11">
        <f t="shared" si="11"/>
        <v>1301250</v>
      </c>
      <c r="J344" s="11" t="s">
        <v>775</v>
      </c>
    </row>
    <row r="345" spans="1:10" x14ac:dyDescent="0.35">
      <c r="A345" s="11" t="s">
        <v>760</v>
      </c>
      <c r="B345" s="11" t="s">
        <v>751</v>
      </c>
      <c r="C345" s="18" t="s">
        <v>12</v>
      </c>
      <c r="D345" s="18" t="s">
        <v>400</v>
      </c>
      <c r="E345" s="11" t="s">
        <v>656</v>
      </c>
      <c r="F345" s="11" t="s">
        <v>754</v>
      </c>
      <c r="G345" s="11">
        <v>3015</v>
      </c>
      <c r="H345" s="11">
        <f t="shared" si="10"/>
        <v>1600</v>
      </c>
      <c r="I345" s="11">
        <f t="shared" si="11"/>
        <v>4824000</v>
      </c>
      <c r="J345" s="11" t="s">
        <v>775</v>
      </c>
    </row>
    <row r="346" spans="1:10" x14ac:dyDescent="0.35">
      <c r="A346" s="11" t="s">
        <v>750</v>
      </c>
      <c r="B346" s="11" t="s">
        <v>751</v>
      </c>
      <c r="C346" s="18" t="s">
        <v>108</v>
      </c>
      <c r="D346" s="18" t="s">
        <v>234</v>
      </c>
      <c r="E346" s="11" t="s">
        <v>287</v>
      </c>
      <c r="F346" s="11" t="s">
        <v>768</v>
      </c>
      <c r="G346" s="11">
        <v>3795</v>
      </c>
      <c r="H346" s="11">
        <f t="shared" si="10"/>
        <v>1500</v>
      </c>
      <c r="I346" s="11">
        <f t="shared" si="11"/>
        <v>5692500</v>
      </c>
      <c r="J346" s="11" t="s">
        <v>775</v>
      </c>
    </row>
    <row r="347" spans="1:10" x14ac:dyDescent="0.35">
      <c r="A347" s="11" t="s">
        <v>766</v>
      </c>
      <c r="B347" s="11" t="s">
        <v>751</v>
      </c>
      <c r="C347" s="18" t="s">
        <v>40</v>
      </c>
      <c r="D347" s="18" t="s">
        <v>41</v>
      </c>
      <c r="E347" s="11" t="s">
        <v>443</v>
      </c>
      <c r="F347" s="11" t="s">
        <v>757</v>
      </c>
      <c r="G347" s="11">
        <v>812</v>
      </c>
      <c r="H347" s="11">
        <f t="shared" si="10"/>
        <v>1440</v>
      </c>
      <c r="I347" s="11">
        <f t="shared" si="11"/>
        <v>1169280</v>
      </c>
      <c r="J347" s="11" t="s">
        <v>776</v>
      </c>
    </row>
    <row r="348" spans="1:10" x14ac:dyDescent="0.35">
      <c r="A348" s="11" t="s">
        <v>762</v>
      </c>
      <c r="B348" s="11" t="s">
        <v>751</v>
      </c>
      <c r="C348" s="18" t="s">
        <v>128</v>
      </c>
      <c r="D348" s="18" t="s">
        <v>129</v>
      </c>
      <c r="E348" s="11" t="s">
        <v>410</v>
      </c>
      <c r="F348" s="11" t="s">
        <v>746</v>
      </c>
      <c r="G348" s="11">
        <v>2628</v>
      </c>
      <c r="H348" s="11">
        <f t="shared" si="10"/>
        <v>250</v>
      </c>
      <c r="I348" s="11">
        <f t="shared" si="11"/>
        <v>657000</v>
      </c>
      <c r="J348" s="11" t="s">
        <v>775</v>
      </c>
    </row>
    <row r="349" spans="1:10" x14ac:dyDescent="0.35">
      <c r="A349" s="11" t="s">
        <v>760</v>
      </c>
      <c r="B349" s="11" t="s">
        <v>742</v>
      </c>
      <c r="C349" s="18" t="s">
        <v>12</v>
      </c>
      <c r="D349" s="18" t="s">
        <v>22</v>
      </c>
      <c r="E349" s="11" t="s">
        <v>583</v>
      </c>
      <c r="F349" s="11" t="s">
        <v>763</v>
      </c>
      <c r="G349" s="11">
        <v>2720</v>
      </c>
      <c r="H349" s="11">
        <f t="shared" si="10"/>
        <v>1600</v>
      </c>
      <c r="I349" s="11">
        <f t="shared" si="11"/>
        <v>4352000</v>
      </c>
      <c r="J349" s="11" t="s">
        <v>776</v>
      </c>
    </row>
    <row r="350" spans="1:10" x14ac:dyDescent="0.35">
      <c r="A350" s="11" t="s">
        <v>760</v>
      </c>
      <c r="B350" s="11" t="s">
        <v>748</v>
      </c>
      <c r="C350" s="18" t="s">
        <v>12</v>
      </c>
      <c r="D350" s="18" t="s">
        <v>237</v>
      </c>
      <c r="E350" s="11" t="s">
        <v>397</v>
      </c>
      <c r="F350" s="11" t="s">
        <v>759</v>
      </c>
      <c r="G350" s="11">
        <v>8805</v>
      </c>
      <c r="H350" s="11">
        <f t="shared" si="10"/>
        <v>1600</v>
      </c>
      <c r="I350" s="11">
        <f t="shared" si="11"/>
        <v>14088000</v>
      </c>
      <c r="J350" s="11" t="s">
        <v>775</v>
      </c>
    </row>
    <row r="351" spans="1:10" x14ac:dyDescent="0.35">
      <c r="A351" s="11" t="s">
        <v>747</v>
      </c>
      <c r="B351" s="11" t="s">
        <v>751</v>
      </c>
      <c r="C351" s="18" t="s">
        <v>12</v>
      </c>
      <c r="D351" s="18" t="s">
        <v>292</v>
      </c>
      <c r="E351" s="11" t="s">
        <v>551</v>
      </c>
      <c r="F351" s="11" t="s">
        <v>768</v>
      </c>
      <c r="G351" s="11">
        <v>8902</v>
      </c>
      <c r="H351" s="11">
        <f t="shared" si="10"/>
        <v>700</v>
      </c>
      <c r="I351" s="11">
        <f t="shared" si="11"/>
        <v>6231400</v>
      </c>
      <c r="J351" s="11" t="s">
        <v>775</v>
      </c>
    </row>
    <row r="352" spans="1:10" x14ac:dyDescent="0.35">
      <c r="A352" s="11" t="s">
        <v>755</v>
      </c>
      <c r="B352" s="11" t="s">
        <v>745</v>
      </c>
      <c r="C352" s="18" t="s">
        <v>128</v>
      </c>
      <c r="D352" s="18" t="s">
        <v>129</v>
      </c>
      <c r="E352" s="11" t="s">
        <v>630</v>
      </c>
      <c r="F352" s="11" t="s">
        <v>767</v>
      </c>
      <c r="G352" s="11">
        <v>3617</v>
      </c>
      <c r="H352" s="11">
        <f t="shared" si="10"/>
        <v>1000</v>
      </c>
      <c r="I352" s="11">
        <f t="shared" si="11"/>
        <v>3617000</v>
      </c>
      <c r="J352" s="11" t="s">
        <v>776</v>
      </c>
    </row>
    <row r="353" spans="1:10" ht="46.5" x14ac:dyDescent="0.35">
      <c r="A353" s="11" t="s">
        <v>758</v>
      </c>
      <c r="B353" s="11" t="s">
        <v>745</v>
      </c>
      <c r="C353" s="18" t="s">
        <v>89</v>
      </c>
      <c r="D353" s="18" t="s">
        <v>537</v>
      </c>
      <c r="E353" s="11" t="s">
        <v>538</v>
      </c>
      <c r="F353" s="11" t="s">
        <v>754</v>
      </c>
      <c r="G353" s="11">
        <v>6102</v>
      </c>
      <c r="H353" s="11">
        <f t="shared" si="10"/>
        <v>150</v>
      </c>
      <c r="I353" s="11">
        <f t="shared" si="11"/>
        <v>915300</v>
      </c>
      <c r="J353" s="11" t="s">
        <v>775</v>
      </c>
    </row>
    <row r="354" spans="1:10" x14ac:dyDescent="0.35">
      <c r="A354" s="11" t="s">
        <v>747</v>
      </c>
      <c r="B354" s="11" t="s">
        <v>748</v>
      </c>
      <c r="C354" s="18" t="s">
        <v>40</v>
      </c>
      <c r="D354" s="18" t="s">
        <v>75</v>
      </c>
      <c r="E354" s="11" t="s">
        <v>76</v>
      </c>
      <c r="F354" s="11" t="s">
        <v>761</v>
      </c>
      <c r="G354" s="11">
        <v>7894</v>
      </c>
      <c r="H354" s="11">
        <f t="shared" si="10"/>
        <v>700</v>
      </c>
      <c r="I354" s="11">
        <f t="shared" si="11"/>
        <v>5525800</v>
      </c>
      <c r="J354" s="11" t="s">
        <v>775</v>
      </c>
    </row>
    <row r="355" spans="1:10" x14ac:dyDescent="0.35">
      <c r="A355" s="11" t="s">
        <v>765</v>
      </c>
      <c r="B355" s="11" t="s">
        <v>751</v>
      </c>
      <c r="C355" s="18" t="s">
        <v>269</v>
      </c>
      <c r="D355" s="18" t="s">
        <v>270</v>
      </c>
      <c r="E355" s="11" t="s">
        <v>271</v>
      </c>
      <c r="F355" s="11" t="s">
        <v>746</v>
      </c>
      <c r="G355" s="11">
        <v>5239</v>
      </c>
      <c r="H355" s="11">
        <f t="shared" si="10"/>
        <v>2000</v>
      </c>
      <c r="I355" s="11">
        <f t="shared" si="11"/>
        <v>10478000</v>
      </c>
      <c r="J355" s="11" t="s">
        <v>775</v>
      </c>
    </row>
    <row r="356" spans="1:10" ht="46.5" x14ac:dyDescent="0.35">
      <c r="A356" s="11" t="s">
        <v>765</v>
      </c>
      <c r="B356" s="11" t="s">
        <v>742</v>
      </c>
      <c r="C356" s="18" t="s">
        <v>89</v>
      </c>
      <c r="D356" s="18" t="s">
        <v>90</v>
      </c>
      <c r="E356" s="11" t="s">
        <v>511</v>
      </c>
      <c r="F356" s="11" t="s">
        <v>763</v>
      </c>
      <c r="G356" s="11">
        <v>7025</v>
      </c>
      <c r="H356" s="11">
        <f t="shared" si="10"/>
        <v>2000</v>
      </c>
      <c r="I356" s="11">
        <f t="shared" si="11"/>
        <v>14050000</v>
      </c>
      <c r="J356" s="11" t="s">
        <v>775</v>
      </c>
    </row>
    <row r="357" spans="1:10" ht="46.5" x14ac:dyDescent="0.35">
      <c r="A357" s="11" t="s">
        <v>765</v>
      </c>
      <c r="B357" s="11" t="s">
        <v>748</v>
      </c>
      <c r="C357" s="18" t="s">
        <v>12</v>
      </c>
      <c r="D357" s="18" t="s">
        <v>167</v>
      </c>
      <c r="E357" s="11" t="s">
        <v>209</v>
      </c>
      <c r="F357" s="11" t="s">
        <v>756</v>
      </c>
      <c r="G357" s="11">
        <v>3397</v>
      </c>
      <c r="H357" s="11">
        <f t="shared" si="10"/>
        <v>2000</v>
      </c>
      <c r="I357" s="11">
        <f t="shared" si="11"/>
        <v>6794000</v>
      </c>
      <c r="J357" s="11" t="s">
        <v>775</v>
      </c>
    </row>
    <row r="358" spans="1:10" x14ac:dyDescent="0.35">
      <c r="A358" s="11" t="s">
        <v>758</v>
      </c>
      <c r="B358" s="11" t="s">
        <v>745</v>
      </c>
      <c r="C358" s="18" t="s">
        <v>86</v>
      </c>
      <c r="D358" s="18" t="s">
        <v>153</v>
      </c>
      <c r="E358" s="11" t="s">
        <v>154</v>
      </c>
      <c r="F358" s="11" t="s">
        <v>768</v>
      </c>
      <c r="G358" s="11">
        <v>5646</v>
      </c>
      <c r="H358" s="11">
        <f t="shared" si="10"/>
        <v>150</v>
      </c>
      <c r="I358" s="11">
        <f t="shared" si="11"/>
        <v>846900</v>
      </c>
      <c r="J358" s="11" t="s">
        <v>776</v>
      </c>
    </row>
    <row r="359" spans="1:10" x14ac:dyDescent="0.35">
      <c r="A359" s="11" t="s">
        <v>766</v>
      </c>
      <c r="B359" s="11" t="s">
        <v>745</v>
      </c>
      <c r="C359" s="18" t="s">
        <v>40</v>
      </c>
      <c r="D359" s="18" t="s">
        <v>710</v>
      </c>
      <c r="E359" s="11" t="s">
        <v>711</v>
      </c>
      <c r="F359" s="11" t="s">
        <v>754</v>
      </c>
      <c r="G359" s="11">
        <v>8857</v>
      </c>
      <c r="H359" s="11">
        <f t="shared" si="10"/>
        <v>1440</v>
      </c>
      <c r="I359" s="11">
        <f t="shared" si="11"/>
        <v>12754080</v>
      </c>
      <c r="J359" s="11" t="s">
        <v>775</v>
      </c>
    </row>
    <row r="360" spans="1:10" x14ac:dyDescent="0.35">
      <c r="A360" s="11" t="s">
        <v>760</v>
      </c>
      <c r="B360" s="11" t="s">
        <v>742</v>
      </c>
      <c r="C360" s="18" t="s">
        <v>128</v>
      </c>
      <c r="D360" s="18" t="s">
        <v>129</v>
      </c>
      <c r="E360" s="11" t="s">
        <v>283</v>
      </c>
      <c r="F360" s="11" t="s">
        <v>752</v>
      </c>
      <c r="G360" s="11">
        <v>5928</v>
      </c>
      <c r="H360" s="11">
        <f t="shared" si="10"/>
        <v>1600</v>
      </c>
      <c r="I360" s="11">
        <f t="shared" si="11"/>
        <v>9484800</v>
      </c>
      <c r="J360" s="11" t="s">
        <v>776</v>
      </c>
    </row>
    <row r="361" spans="1:10" ht="46.5" x14ac:dyDescent="0.35">
      <c r="A361" s="11" t="s">
        <v>744</v>
      </c>
      <c r="B361" s="11" t="s">
        <v>745</v>
      </c>
      <c r="C361" s="18" t="s">
        <v>89</v>
      </c>
      <c r="D361" s="18" t="s">
        <v>90</v>
      </c>
      <c r="E361" s="11" t="s">
        <v>474</v>
      </c>
      <c r="F361" s="11" t="s">
        <v>759</v>
      </c>
      <c r="G361" s="11">
        <v>3640</v>
      </c>
      <c r="H361" s="11">
        <f t="shared" si="10"/>
        <v>800</v>
      </c>
      <c r="I361" s="11">
        <f t="shared" si="11"/>
        <v>2912000</v>
      </c>
      <c r="J361" s="11" t="s">
        <v>776</v>
      </c>
    </row>
    <row r="362" spans="1:10" x14ac:dyDescent="0.35">
      <c r="A362" s="11" t="s">
        <v>741</v>
      </c>
      <c r="B362" s="11" t="s">
        <v>745</v>
      </c>
      <c r="C362" s="18" t="s">
        <v>61</v>
      </c>
      <c r="D362" s="18" t="s">
        <v>692</v>
      </c>
      <c r="E362" s="11" t="s">
        <v>693</v>
      </c>
      <c r="F362" s="11" t="s">
        <v>759</v>
      </c>
      <c r="G362" s="11">
        <v>7659</v>
      </c>
      <c r="H362" s="11">
        <f t="shared" si="10"/>
        <v>550</v>
      </c>
      <c r="I362" s="11">
        <f t="shared" si="11"/>
        <v>4212450</v>
      </c>
      <c r="J362" s="11" t="s">
        <v>775</v>
      </c>
    </row>
    <row r="363" spans="1:10" x14ac:dyDescent="0.35">
      <c r="A363" s="11" t="s">
        <v>747</v>
      </c>
      <c r="B363" s="11" t="s">
        <v>742</v>
      </c>
      <c r="C363" s="18" t="s">
        <v>61</v>
      </c>
      <c r="D363" s="18" t="s">
        <v>388</v>
      </c>
      <c r="E363" s="11" t="s">
        <v>691</v>
      </c>
      <c r="F363" s="11" t="s">
        <v>767</v>
      </c>
      <c r="G363" s="11">
        <v>3739</v>
      </c>
      <c r="H363" s="11">
        <f t="shared" si="10"/>
        <v>700</v>
      </c>
      <c r="I363" s="11">
        <f t="shared" si="11"/>
        <v>2617300</v>
      </c>
      <c r="J363" s="11" t="s">
        <v>775</v>
      </c>
    </row>
    <row r="364" spans="1:10" x14ac:dyDescent="0.35">
      <c r="A364" s="11" t="s">
        <v>755</v>
      </c>
      <c r="B364" s="11" t="s">
        <v>745</v>
      </c>
      <c r="C364" s="18" t="s">
        <v>12</v>
      </c>
      <c r="D364" s="18" t="s">
        <v>117</v>
      </c>
      <c r="E364" s="11" t="s">
        <v>169</v>
      </c>
      <c r="F364" s="11" t="s">
        <v>768</v>
      </c>
      <c r="G364" s="11">
        <v>8470</v>
      </c>
      <c r="H364" s="11">
        <f t="shared" si="10"/>
        <v>1000</v>
      </c>
      <c r="I364" s="11">
        <f t="shared" si="11"/>
        <v>8470000</v>
      </c>
      <c r="J364" s="11" t="s">
        <v>776</v>
      </c>
    </row>
    <row r="365" spans="1:10" x14ac:dyDescent="0.35">
      <c r="A365" s="11" t="s">
        <v>755</v>
      </c>
      <c r="B365" s="11" t="s">
        <v>748</v>
      </c>
      <c r="C365" s="18" t="s">
        <v>27</v>
      </c>
      <c r="D365" s="18" t="s">
        <v>2</v>
      </c>
      <c r="E365" s="11" t="s">
        <v>458</v>
      </c>
      <c r="F365" s="11" t="s">
        <v>759</v>
      </c>
      <c r="G365" s="11">
        <v>2432</v>
      </c>
      <c r="H365" s="11">
        <f t="shared" si="10"/>
        <v>1000</v>
      </c>
      <c r="I365" s="11">
        <f t="shared" si="11"/>
        <v>2432000</v>
      </c>
      <c r="J365" s="11" t="s">
        <v>776</v>
      </c>
    </row>
    <row r="366" spans="1:10" x14ac:dyDescent="0.35">
      <c r="A366" s="11" t="s">
        <v>755</v>
      </c>
      <c r="B366" s="11" t="s">
        <v>751</v>
      </c>
      <c r="C366" s="18" t="s">
        <v>12</v>
      </c>
      <c r="D366" s="18" t="s">
        <v>325</v>
      </c>
      <c r="E366" s="11" t="s">
        <v>326</v>
      </c>
      <c r="F366" s="11" t="s">
        <v>761</v>
      </c>
      <c r="G366" s="11">
        <v>6963</v>
      </c>
      <c r="H366" s="11">
        <f t="shared" si="10"/>
        <v>1000</v>
      </c>
      <c r="I366" s="11">
        <f t="shared" si="11"/>
        <v>6963000</v>
      </c>
      <c r="J366" s="11" t="s">
        <v>775</v>
      </c>
    </row>
    <row r="367" spans="1:10" x14ac:dyDescent="0.35">
      <c r="A367" s="11" t="s">
        <v>760</v>
      </c>
      <c r="B367" s="11" t="s">
        <v>748</v>
      </c>
      <c r="C367" s="18" t="s">
        <v>61</v>
      </c>
      <c r="D367" s="18" t="s">
        <v>122</v>
      </c>
      <c r="E367" s="11" t="s">
        <v>123</v>
      </c>
      <c r="F367" s="11" t="s">
        <v>768</v>
      </c>
      <c r="G367" s="11">
        <v>4423</v>
      </c>
      <c r="H367" s="11">
        <f t="shared" si="10"/>
        <v>1600</v>
      </c>
      <c r="I367" s="11">
        <f t="shared" si="11"/>
        <v>7076800</v>
      </c>
      <c r="J367" s="11" t="s">
        <v>776</v>
      </c>
    </row>
    <row r="368" spans="1:10" x14ac:dyDescent="0.35">
      <c r="A368" s="11" t="s">
        <v>758</v>
      </c>
      <c r="B368" s="11" t="s">
        <v>745</v>
      </c>
      <c r="C368" s="18" t="s">
        <v>188</v>
      </c>
      <c r="D368" s="18" t="s">
        <v>189</v>
      </c>
      <c r="E368" s="11" t="s">
        <v>428</v>
      </c>
      <c r="F368" s="11" t="s">
        <v>754</v>
      </c>
      <c r="G368" s="11">
        <v>666</v>
      </c>
      <c r="H368" s="11">
        <f t="shared" si="10"/>
        <v>150</v>
      </c>
      <c r="I368" s="11">
        <f t="shared" si="11"/>
        <v>99900</v>
      </c>
      <c r="J368" s="11" t="s">
        <v>776</v>
      </c>
    </row>
    <row r="369" spans="1:10" ht="46.5" x14ac:dyDescent="0.35">
      <c r="A369" s="11" t="s">
        <v>747</v>
      </c>
      <c r="B369" s="11" t="s">
        <v>742</v>
      </c>
      <c r="C369" s="18" t="s">
        <v>65</v>
      </c>
      <c r="D369" s="18" t="s">
        <v>593</v>
      </c>
      <c r="E369" s="11" t="s">
        <v>594</v>
      </c>
      <c r="F369" s="11" t="s">
        <v>756</v>
      </c>
      <c r="G369" s="11">
        <v>6874</v>
      </c>
      <c r="H369" s="11">
        <f t="shared" si="10"/>
        <v>700</v>
      </c>
      <c r="I369" s="11">
        <f t="shared" si="11"/>
        <v>4811800</v>
      </c>
      <c r="J369" s="11" t="s">
        <v>775</v>
      </c>
    </row>
    <row r="370" spans="1:10" x14ac:dyDescent="0.35">
      <c r="A370" s="11" t="s">
        <v>765</v>
      </c>
      <c r="B370" s="11" t="s">
        <v>751</v>
      </c>
      <c r="C370" s="18" t="s">
        <v>40</v>
      </c>
      <c r="D370" s="18" t="s">
        <v>97</v>
      </c>
      <c r="E370" s="11" t="s">
        <v>98</v>
      </c>
      <c r="F370" s="11" t="s">
        <v>743</v>
      </c>
      <c r="G370" s="11">
        <v>9002</v>
      </c>
      <c r="H370" s="11">
        <f t="shared" si="10"/>
        <v>2000</v>
      </c>
      <c r="I370" s="11">
        <f t="shared" si="11"/>
        <v>18004000</v>
      </c>
      <c r="J370" s="11" t="s">
        <v>775</v>
      </c>
    </row>
    <row r="371" spans="1:10" x14ac:dyDescent="0.35">
      <c r="A371" s="11" t="s">
        <v>741</v>
      </c>
      <c r="B371" s="11" t="s">
        <v>751</v>
      </c>
      <c r="C371" s="18" t="s">
        <v>12</v>
      </c>
      <c r="D371" s="18" t="s">
        <v>73</v>
      </c>
      <c r="E371" s="11" t="s">
        <v>299</v>
      </c>
      <c r="F371" s="11" t="s">
        <v>752</v>
      </c>
      <c r="G371" s="11">
        <v>7039</v>
      </c>
      <c r="H371" s="11">
        <f t="shared" si="10"/>
        <v>550</v>
      </c>
      <c r="I371" s="11">
        <f t="shared" si="11"/>
        <v>3871450</v>
      </c>
      <c r="J371" s="11" t="s">
        <v>776</v>
      </c>
    </row>
    <row r="372" spans="1:10" x14ac:dyDescent="0.35">
      <c r="A372" s="11" t="s">
        <v>762</v>
      </c>
      <c r="B372" s="11" t="s">
        <v>742</v>
      </c>
      <c r="C372" s="18" t="s">
        <v>35</v>
      </c>
      <c r="D372" s="18" t="s">
        <v>36</v>
      </c>
      <c r="E372" s="11" t="s">
        <v>532</v>
      </c>
      <c r="F372" s="11" t="s">
        <v>761</v>
      </c>
      <c r="G372" s="11">
        <v>9772</v>
      </c>
      <c r="H372" s="11">
        <f t="shared" si="10"/>
        <v>250</v>
      </c>
      <c r="I372" s="11">
        <f t="shared" si="11"/>
        <v>2443000</v>
      </c>
      <c r="J372" s="11" t="s">
        <v>775</v>
      </c>
    </row>
    <row r="373" spans="1:10" x14ac:dyDescent="0.35">
      <c r="A373" s="11" t="s">
        <v>758</v>
      </c>
      <c r="B373" s="11" t="s">
        <v>745</v>
      </c>
      <c r="C373" s="18" t="s">
        <v>12</v>
      </c>
      <c r="D373" s="18" t="s">
        <v>38</v>
      </c>
      <c r="E373" s="11" t="s">
        <v>543</v>
      </c>
      <c r="F373" s="11" t="s">
        <v>752</v>
      </c>
      <c r="G373" s="11">
        <v>2328</v>
      </c>
      <c r="H373" s="11">
        <f t="shared" si="10"/>
        <v>150</v>
      </c>
      <c r="I373" s="11">
        <f t="shared" si="11"/>
        <v>349200</v>
      </c>
      <c r="J373" s="11" t="s">
        <v>776</v>
      </c>
    </row>
    <row r="374" spans="1:10" x14ac:dyDescent="0.35">
      <c r="A374" s="11" t="s">
        <v>764</v>
      </c>
      <c r="B374" s="11" t="s">
        <v>742</v>
      </c>
      <c r="C374" s="18" t="s">
        <v>215</v>
      </c>
      <c r="D374" s="18" t="s">
        <v>215</v>
      </c>
      <c r="E374" s="11" t="s">
        <v>461</v>
      </c>
      <c r="F374" s="11" t="s">
        <v>759</v>
      </c>
      <c r="G374" s="11">
        <v>7904</v>
      </c>
      <c r="H374" s="11">
        <f t="shared" si="10"/>
        <v>650</v>
      </c>
      <c r="I374" s="11">
        <f t="shared" si="11"/>
        <v>5137600</v>
      </c>
      <c r="J374" s="11" t="s">
        <v>775</v>
      </c>
    </row>
    <row r="375" spans="1:10" ht="46.5" x14ac:dyDescent="0.35">
      <c r="A375" s="11" t="s">
        <v>750</v>
      </c>
      <c r="B375" s="11" t="s">
        <v>748</v>
      </c>
      <c r="C375" s="18" t="s">
        <v>61</v>
      </c>
      <c r="D375" s="18" t="s">
        <v>106</v>
      </c>
      <c r="E375" s="11" t="s">
        <v>107</v>
      </c>
      <c r="F375" s="11" t="s">
        <v>752</v>
      </c>
      <c r="G375" s="11">
        <v>9029</v>
      </c>
      <c r="H375" s="11">
        <f t="shared" si="10"/>
        <v>1500</v>
      </c>
      <c r="I375" s="11">
        <f t="shared" si="11"/>
        <v>13543500</v>
      </c>
      <c r="J375" s="11" t="s">
        <v>775</v>
      </c>
    </row>
    <row r="376" spans="1:10" x14ac:dyDescent="0.35">
      <c r="A376" s="11" t="s">
        <v>750</v>
      </c>
      <c r="B376" s="11" t="s">
        <v>742</v>
      </c>
      <c r="C376" s="18" t="s">
        <v>12</v>
      </c>
      <c r="D376" s="18" t="s">
        <v>678</v>
      </c>
      <c r="E376" s="11" t="s">
        <v>679</v>
      </c>
      <c r="F376" s="11" t="s">
        <v>757</v>
      </c>
      <c r="G376" s="11">
        <v>4182</v>
      </c>
      <c r="H376" s="11">
        <f t="shared" si="10"/>
        <v>1500</v>
      </c>
      <c r="I376" s="11">
        <f t="shared" si="11"/>
        <v>6273000</v>
      </c>
      <c r="J376" s="11" t="s">
        <v>776</v>
      </c>
    </row>
    <row r="377" spans="1:10" ht="46.5" x14ac:dyDescent="0.35">
      <c r="A377" s="11" t="s">
        <v>760</v>
      </c>
      <c r="B377" s="11" t="s">
        <v>745</v>
      </c>
      <c r="C377" s="18" t="s">
        <v>89</v>
      </c>
      <c r="D377" s="18" t="s">
        <v>90</v>
      </c>
      <c r="E377" s="11" t="s">
        <v>221</v>
      </c>
      <c r="F377" s="11" t="s">
        <v>763</v>
      </c>
      <c r="G377" s="11">
        <v>721</v>
      </c>
      <c r="H377" s="11">
        <f t="shared" si="10"/>
        <v>1600</v>
      </c>
      <c r="I377" s="11">
        <f t="shared" si="11"/>
        <v>1153600</v>
      </c>
      <c r="J377" s="11" t="s">
        <v>775</v>
      </c>
    </row>
    <row r="378" spans="1:10" x14ac:dyDescent="0.35">
      <c r="A378" s="11" t="s">
        <v>764</v>
      </c>
      <c r="B378" s="11" t="s">
        <v>742</v>
      </c>
      <c r="C378" s="18" t="s">
        <v>114</v>
      </c>
      <c r="D378" s="18" t="s">
        <v>115</v>
      </c>
      <c r="E378" s="11" t="s">
        <v>727</v>
      </c>
      <c r="F378" s="11" t="s">
        <v>752</v>
      </c>
      <c r="G378" s="11">
        <v>4378</v>
      </c>
      <c r="H378" s="11">
        <f t="shared" si="10"/>
        <v>650</v>
      </c>
      <c r="I378" s="11">
        <f t="shared" si="11"/>
        <v>2845700</v>
      </c>
      <c r="J378" s="11" t="s">
        <v>776</v>
      </c>
    </row>
    <row r="379" spans="1:10" x14ac:dyDescent="0.35">
      <c r="A379" s="11" t="s">
        <v>766</v>
      </c>
      <c r="B379" s="11" t="s">
        <v>751</v>
      </c>
      <c r="C379" s="18" t="s">
        <v>384</v>
      </c>
      <c r="D379" s="18" t="s">
        <v>385</v>
      </c>
      <c r="E379" s="11" t="s">
        <v>386</v>
      </c>
      <c r="F379" s="11" t="s">
        <v>763</v>
      </c>
      <c r="G379" s="11">
        <v>8293</v>
      </c>
      <c r="H379" s="11">
        <f t="shared" si="10"/>
        <v>1440</v>
      </c>
      <c r="I379" s="11">
        <f t="shared" si="11"/>
        <v>11941920</v>
      </c>
      <c r="J379" s="11" t="s">
        <v>776</v>
      </c>
    </row>
    <row r="380" spans="1:10" x14ac:dyDescent="0.35">
      <c r="A380" s="11" t="s">
        <v>765</v>
      </c>
      <c r="B380" s="11" t="s">
        <v>745</v>
      </c>
      <c r="C380" s="18" t="s">
        <v>12</v>
      </c>
      <c r="D380" s="18" t="s">
        <v>571</v>
      </c>
      <c r="E380" s="11" t="s">
        <v>572</v>
      </c>
      <c r="F380" s="11" t="s">
        <v>759</v>
      </c>
      <c r="G380" s="11">
        <v>7174</v>
      </c>
      <c r="H380" s="11">
        <f t="shared" si="10"/>
        <v>2000</v>
      </c>
      <c r="I380" s="11">
        <f t="shared" si="11"/>
        <v>14348000</v>
      </c>
      <c r="J380" s="11" t="s">
        <v>775</v>
      </c>
    </row>
    <row r="381" spans="1:10" x14ac:dyDescent="0.35">
      <c r="A381" s="11" t="s">
        <v>755</v>
      </c>
      <c r="B381" s="11" t="s">
        <v>748</v>
      </c>
      <c r="C381" s="18" t="s">
        <v>12</v>
      </c>
      <c r="D381" s="18" t="s">
        <v>38</v>
      </c>
      <c r="E381" s="11" t="s">
        <v>39</v>
      </c>
      <c r="F381" s="11" t="s">
        <v>743</v>
      </c>
      <c r="G381" s="11">
        <v>9241</v>
      </c>
      <c r="H381" s="11">
        <f t="shared" si="10"/>
        <v>1000</v>
      </c>
      <c r="I381" s="11">
        <f t="shared" si="11"/>
        <v>9241000</v>
      </c>
      <c r="J381" s="11" t="s">
        <v>775</v>
      </c>
    </row>
    <row r="382" spans="1:10" x14ac:dyDescent="0.35">
      <c r="A382" s="11" t="s">
        <v>744</v>
      </c>
      <c r="B382" s="11" t="s">
        <v>748</v>
      </c>
      <c r="C382" s="18" t="s">
        <v>12</v>
      </c>
      <c r="D382" s="18" t="s">
        <v>19</v>
      </c>
      <c r="E382" s="11" t="s">
        <v>20</v>
      </c>
      <c r="F382" s="11" t="s">
        <v>752</v>
      </c>
      <c r="G382" s="11">
        <v>9655</v>
      </c>
      <c r="H382" s="11">
        <f t="shared" si="10"/>
        <v>800</v>
      </c>
      <c r="I382" s="11">
        <f t="shared" si="11"/>
        <v>7724000</v>
      </c>
      <c r="J382" s="11" t="s">
        <v>775</v>
      </c>
    </row>
    <row r="383" spans="1:10" x14ac:dyDescent="0.35">
      <c r="A383" s="11" t="s">
        <v>741</v>
      </c>
      <c r="B383" s="11" t="s">
        <v>748</v>
      </c>
      <c r="C383" s="18" t="s">
        <v>12</v>
      </c>
      <c r="D383" s="18" t="s">
        <v>491</v>
      </c>
      <c r="E383" s="11" t="s">
        <v>492</v>
      </c>
      <c r="F383" s="11" t="s">
        <v>754</v>
      </c>
      <c r="G383" s="11">
        <v>6987</v>
      </c>
      <c r="H383" s="11">
        <f t="shared" si="10"/>
        <v>550</v>
      </c>
      <c r="I383" s="11">
        <f t="shared" si="11"/>
        <v>3842850</v>
      </c>
      <c r="J383" s="11" t="s">
        <v>775</v>
      </c>
    </row>
    <row r="384" spans="1:10" x14ac:dyDescent="0.35">
      <c r="A384" s="11" t="s">
        <v>758</v>
      </c>
      <c r="B384" s="11" t="s">
        <v>742</v>
      </c>
      <c r="C384" s="18" t="s">
        <v>12</v>
      </c>
      <c r="D384" s="18" t="s">
        <v>354</v>
      </c>
      <c r="E384" s="11" t="s">
        <v>355</v>
      </c>
      <c r="F384" s="11" t="s">
        <v>756</v>
      </c>
      <c r="G384" s="11">
        <v>1913</v>
      </c>
      <c r="H384" s="11">
        <f t="shared" si="10"/>
        <v>150</v>
      </c>
      <c r="I384" s="11">
        <f t="shared" si="11"/>
        <v>286950</v>
      </c>
      <c r="J384" s="11" t="s">
        <v>775</v>
      </c>
    </row>
    <row r="385" spans="1:10" x14ac:dyDescent="0.35">
      <c r="A385" s="11" t="s">
        <v>747</v>
      </c>
      <c r="B385" s="11" t="s">
        <v>751</v>
      </c>
      <c r="C385" s="18" t="s">
        <v>61</v>
      </c>
      <c r="D385" s="18" t="s">
        <v>586</v>
      </c>
      <c r="E385" s="11" t="s">
        <v>587</v>
      </c>
      <c r="F385" s="11" t="s">
        <v>749</v>
      </c>
      <c r="G385" s="11">
        <v>3504</v>
      </c>
      <c r="H385" s="11">
        <f t="shared" si="10"/>
        <v>700</v>
      </c>
      <c r="I385" s="11">
        <f t="shared" si="11"/>
        <v>2452800</v>
      </c>
      <c r="J385" s="11" t="s">
        <v>775</v>
      </c>
    </row>
    <row r="386" spans="1:10" x14ac:dyDescent="0.35">
      <c r="A386" s="11" t="s">
        <v>765</v>
      </c>
      <c r="B386" s="11" t="s">
        <v>751</v>
      </c>
      <c r="C386" s="18" t="s">
        <v>81</v>
      </c>
      <c r="D386" s="18" t="s">
        <v>439</v>
      </c>
      <c r="E386" s="11" t="s">
        <v>718</v>
      </c>
      <c r="F386" s="11" t="s">
        <v>757</v>
      </c>
      <c r="G386" s="11">
        <v>1719</v>
      </c>
      <c r="H386" s="11">
        <f t="shared" si="10"/>
        <v>2000</v>
      </c>
      <c r="I386" s="11">
        <f t="shared" si="11"/>
        <v>3438000</v>
      </c>
      <c r="J386" s="11" t="s">
        <v>775</v>
      </c>
    </row>
    <row r="387" spans="1:10" x14ac:dyDescent="0.35">
      <c r="A387" s="11" t="s">
        <v>762</v>
      </c>
      <c r="B387" s="11" t="s">
        <v>751</v>
      </c>
      <c r="C387" s="18" t="s">
        <v>12</v>
      </c>
      <c r="D387" s="18" t="s">
        <v>351</v>
      </c>
      <c r="E387" s="11" t="s">
        <v>352</v>
      </c>
      <c r="F387" s="11" t="s">
        <v>767</v>
      </c>
      <c r="G387" s="11">
        <v>2784</v>
      </c>
      <c r="H387" s="11">
        <f t="shared" si="10"/>
        <v>250</v>
      </c>
      <c r="I387" s="11">
        <f t="shared" si="11"/>
        <v>696000</v>
      </c>
      <c r="J387" s="11" t="s">
        <v>776</v>
      </c>
    </row>
    <row r="388" spans="1:10" x14ac:dyDescent="0.35">
      <c r="A388" s="11" t="s">
        <v>762</v>
      </c>
      <c r="B388" s="11" t="s">
        <v>748</v>
      </c>
      <c r="C388" s="18" t="s">
        <v>128</v>
      </c>
      <c r="D388" s="18" t="s">
        <v>129</v>
      </c>
      <c r="E388" s="11" t="s">
        <v>170</v>
      </c>
      <c r="F388" s="11" t="s">
        <v>761</v>
      </c>
      <c r="G388" s="11">
        <v>1877</v>
      </c>
      <c r="H388" s="11">
        <f t="shared" si="10"/>
        <v>250</v>
      </c>
      <c r="I388" s="11">
        <f t="shared" si="11"/>
        <v>469250</v>
      </c>
      <c r="J388" s="11" t="s">
        <v>776</v>
      </c>
    </row>
    <row r="389" spans="1:10" x14ac:dyDescent="0.35">
      <c r="A389" s="11" t="s">
        <v>760</v>
      </c>
      <c r="B389" s="11" t="s">
        <v>748</v>
      </c>
      <c r="C389" s="18" t="s">
        <v>61</v>
      </c>
      <c r="D389" s="18" t="s">
        <v>361</v>
      </c>
      <c r="E389" s="11" t="s">
        <v>382</v>
      </c>
      <c r="F389" s="11" t="s">
        <v>756</v>
      </c>
      <c r="G389" s="11">
        <v>9882</v>
      </c>
      <c r="H389" s="11">
        <f t="shared" ref="H389:H452" si="12">IF(A389="Paracetamol",550,IF(A389="Fluconazole",800,IF(A389="Metformin",700,IF(A389="Diclofenac",1500,IF(A389="Dolo",450,IF(A389="Sumo",1000,IF(A389="Calpol",1600,IF(A389="Lbuprofen",250,IF(A389="Azithroycin",650,IF(A389="Amoxicillin",2000,IF(A389="Omeprazole",1440,IF(A389="Centirizin",150))))))))))))</f>
        <v>1600</v>
      </c>
      <c r="I389" s="11">
        <f t="shared" ref="I389:I452" si="13">G389*H389</f>
        <v>15811200</v>
      </c>
      <c r="J389" s="11" t="s">
        <v>775</v>
      </c>
    </row>
    <row r="390" spans="1:10" ht="46.5" x14ac:dyDescent="0.35">
      <c r="A390" s="11" t="s">
        <v>755</v>
      </c>
      <c r="B390" s="11" t="s">
        <v>748</v>
      </c>
      <c r="C390" s="18" t="s">
        <v>89</v>
      </c>
      <c r="D390" s="18" t="s">
        <v>90</v>
      </c>
      <c r="E390" s="11" t="s">
        <v>379</v>
      </c>
      <c r="F390" s="11" t="s">
        <v>759</v>
      </c>
      <c r="G390" s="11">
        <v>8177</v>
      </c>
      <c r="H390" s="11">
        <f t="shared" si="12"/>
        <v>1000</v>
      </c>
      <c r="I390" s="11">
        <f t="shared" si="13"/>
        <v>8177000</v>
      </c>
      <c r="J390" s="11" t="s">
        <v>775</v>
      </c>
    </row>
    <row r="391" spans="1:10" x14ac:dyDescent="0.35">
      <c r="A391" s="11" t="s">
        <v>758</v>
      </c>
      <c r="B391" s="11" t="s">
        <v>742</v>
      </c>
      <c r="C391" s="18" t="s">
        <v>40</v>
      </c>
      <c r="D391" s="18" t="s">
        <v>75</v>
      </c>
      <c r="E391" s="11" t="s">
        <v>191</v>
      </c>
      <c r="F391" s="11" t="s">
        <v>743</v>
      </c>
      <c r="G391" s="11">
        <v>5161</v>
      </c>
      <c r="H391" s="11">
        <f t="shared" si="12"/>
        <v>150</v>
      </c>
      <c r="I391" s="11">
        <f t="shared" si="13"/>
        <v>774150</v>
      </c>
      <c r="J391" s="11" t="s">
        <v>776</v>
      </c>
    </row>
    <row r="392" spans="1:10" x14ac:dyDescent="0.35">
      <c r="A392" s="11" t="s">
        <v>744</v>
      </c>
      <c r="B392" s="11" t="s">
        <v>745</v>
      </c>
      <c r="C392" s="18" t="s">
        <v>40</v>
      </c>
      <c r="D392" s="18" t="s">
        <v>254</v>
      </c>
      <c r="E392" s="11" t="s">
        <v>255</v>
      </c>
      <c r="F392" s="11" t="s">
        <v>761</v>
      </c>
      <c r="G392" s="11">
        <v>4176</v>
      </c>
      <c r="H392" s="11">
        <f t="shared" si="12"/>
        <v>800</v>
      </c>
      <c r="I392" s="11">
        <f t="shared" si="13"/>
        <v>3340800</v>
      </c>
      <c r="J392" s="11" t="s">
        <v>776</v>
      </c>
    </row>
    <row r="393" spans="1:10" x14ac:dyDescent="0.35">
      <c r="A393" s="11" t="s">
        <v>750</v>
      </c>
      <c r="B393" s="11" t="s">
        <v>748</v>
      </c>
      <c r="C393" s="18" t="s">
        <v>40</v>
      </c>
      <c r="D393" s="18" t="s">
        <v>59</v>
      </c>
      <c r="E393" s="11" t="s">
        <v>320</v>
      </c>
      <c r="F393" s="11" t="s">
        <v>749</v>
      </c>
      <c r="G393" s="11">
        <v>1093</v>
      </c>
      <c r="H393" s="11">
        <f t="shared" si="12"/>
        <v>1500</v>
      </c>
      <c r="I393" s="11">
        <f t="shared" si="13"/>
        <v>1639500</v>
      </c>
      <c r="J393" s="11" t="s">
        <v>775</v>
      </c>
    </row>
    <row r="394" spans="1:10" x14ac:dyDescent="0.35">
      <c r="A394" s="11" t="s">
        <v>755</v>
      </c>
      <c r="B394" s="11" t="s">
        <v>742</v>
      </c>
      <c r="C394" s="18" t="s">
        <v>12</v>
      </c>
      <c r="D394" s="18" t="s">
        <v>33</v>
      </c>
      <c r="E394" s="11" t="s">
        <v>395</v>
      </c>
      <c r="F394" s="11" t="s">
        <v>768</v>
      </c>
      <c r="G394" s="11">
        <v>7001</v>
      </c>
      <c r="H394" s="11">
        <f t="shared" si="12"/>
        <v>1000</v>
      </c>
      <c r="I394" s="11">
        <f t="shared" si="13"/>
        <v>7001000</v>
      </c>
      <c r="J394" s="11" t="s">
        <v>776</v>
      </c>
    </row>
    <row r="395" spans="1:10" x14ac:dyDescent="0.35">
      <c r="A395" s="11" t="s">
        <v>764</v>
      </c>
      <c r="B395" s="11" t="s">
        <v>748</v>
      </c>
      <c r="C395" s="18" t="s">
        <v>12</v>
      </c>
      <c r="D395" s="18" t="s">
        <v>376</v>
      </c>
      <c r="E395" s="11" t="s">
        <v>377</v>
      </c>
      <c r="F395" s="11" t="s">
        <v>757</v>
      </c>
      <c r="G395" s="11">
        <v>4089</v>
      </c>
      <c r="H395" s="11">
        <f t="shared" si="12"/>
        <v>650</v>
      </c>
      <c r="I395" s="11">
        <f t="shared" si="13"/>
        <v>2657850</v>
      </c>
      <c r="J395" s="11" t="s">
        <v>776</v>
      </c>
    </row>
    <row r="396" spans="1:10" x14ac:dyDescent="0.35">
      <c r="A396" s="11" t="s">
        <v>753</v>
      </c>
      <c r="B396" s="11" t="s">
        <v>745</v>
      </c>
      <c r="C396" s="18" t="s">
        <v>12</v>
      </c>
      <c r="D396" s="18" t="s">
        <v>33</v>
      </c>
      <c r="E396" s="11" t="s">
        <v>43</v>
      </c>
      <c r="F396" s="11" t="s">
        <v>759</v>
      </c>
      <c r="G396" s="11">
        <v>6661</v>
      </c>
      <c r="H396" s="11">
        <f t="shared" si="12"/>
        <v>450</v>
      </c>
      <c r="I396" s="11">
        <f t="shared" si="13"/>
        <v>2997450</v>
      </c>
      <c r="J396" s="11" t="s">
        <v>776</v>
      </c>
    </row>
    <row r="397" spans="1:10" x14ac:dyDescent="0.35">
      <c r="A397" s="11" t="s">
        <v>753</v>
      </c>
      <c r="B397" s="11" t="s">
        <v>745</v>
      </c>
      <c r="C397" s="18" t="s">
        <v>65</v>
      </c>
      <c r="D397" s="18" t="s">
        <v>359</v>
      </c>
      <c r="E397" s="11" t="s">
        <v>360</v>
      </c>
      <c r="F397" s="11" t="s">
        <v>768</v>
      </c>
      <c r="G397" s="11">
        <v>4918</v>
      </c>
      <c r="H397" s="11">
        <f t="shared" si="12"/>
        <v>450</v>
      </c>
      <c r="I397" s="11">
        <f t="shared" si="13"/>
        <v>2213100</v>
      </c>
      <c r="J397" s="11" t="s">
        <v>775</v>
      </c>
    </row>
    <row r="398" spans="1:10" x14ac:dyDescent="0.35">
      <c r="A398" s="11" t="s">
        <v>760</v>
      </c>
      <c r="B398" s="11" t="s">
        <v>751</v>
      </c>
      <c r="C398" s="18" t="s">
        <v>12</v>
      </c>
      <c r="D398" s="18" t="s">
        <v>22</v>
      </c>
      <c r="E398" s="11" t="s">
        <v>470</v>
      </c>
      <c r="F398" s="11" t="s">
        <v>752</v>
      </c>
      <c r="G398" s="11">
        <v>4074</v>
      </c>
      <c r="H398" s="11">
        <f t="shared" si="12"/>
        <v>1600</v>
      </c>
      <c r="I398" s="11">
        <f t="shared" si="13"/>
        <v>6518400</v>
      </c>
      <c r="J398" s="11" t="s">
        <v>776</v>
      </c>
    </row>
    <row r="399" spans="1:10" x14ac:dyDescent="0.35">
      <c r="A399" s="11" t="s">
        <v>758</v>
      </c>
      <c r="B399" s="11" t="s">
        <v>751</v>
      </c>
      <c r="C399" s="18" t="s">
        <v>12</v>
      </c>
      <c r="D399" s="18" t="s">
        <v>195</v>
      </c>
      <c r="E399" s="11" t="s">
        <v>227</v>
      </c>
      <c r="F399" s="11" t="s">
        <v>746</v>
      </c>
      <c r="G399" s="11">
        <v>5491</v>
      </c>
      <c r="H399" s="11">
        <f t="shared" si="12"/>
        <v>150</v>
      </c>
      <c r="I399" s="11">
        <f t="shared" si="13"/>
        <v>823650</v>
      </c>
      <c r="J399" s="11" t="s">
        <v>776</v>
      </c>
    </row>
    <row r="400" spans="1:10" x14ac:dyDescent="0.35">
      <c r="A400" s="11" t="s">
        <v>741</v>
      </c>
      <c r="B400" s="11" t="s">
        <v>751</v>
      </c>
      <c r="C400" s="18" t="s">
        <v>12</v>
      </c>
      <c r="D400" s="18" t="s">
        <v>604</v>
      </c>
      <c r="E400" s="11" t="s">
        <v>605</v>
      </c>
      <c r="F400" s="11" t="s">
        <v>754</v>
      </c>
      <c r="G400" s="11">
        <v>2213</v>
      </c>
      <c r="H400" s="11">
        <f t="shared" si="12"/>
        <v>550</v>
      </c>
      <c r="I400" s="11">
        <f t="shared" si="13"/>
        <v>1217150</v>
      </c>
      <c r="J400" s="11" t="s">
        <v>775</v>
      </c>
    </row>
    <row r="401" spans="1:10" ht="46.5" x14ac:dyDescent="0.35">
      <c r="A401" s="11" t="s">
        <v>760</v>
      </c>
      <c r="B401" s="11" t="s">
        <v>745</v>
      </c>
      <c r="C401" s="18" t="s">
        <v>89</v>
      </c>
      <c r="D401" s="18" t="s">
        <v>369</v>
      </c>
      <c r="E401" s="11" t="s">
        <v>370</v>
      </c>
      <c r="F401" s="11" t="s">
        <v>756</v>
      </c>
      <c r="G401" s="11">
        <v>5483</v>
      </c>
      <c r="H401" s="11">
        <f t="shared" si="12"/>
        <v>1600</v>
      </c>
      <c r="I401" s="11">
        <f t="shared" si="13"/>
        <v>8772800</v>
      </c>
      <c r="J401" s="11" t="s">
        <v>776</v>
      </c>
    </row>
    <row r="402" spans="1:10" x14ac:dyDescent="0.35">
      <c r="A402" s="11" t="s">
        <v>753</v>
      </c>
      <c r="B402" s="11" t="s">
        <v>742</v>
      </c>
      <c r="C402" s="18" t="s">
        <v>52</v>
      </c>
      <c r="D402" s="18" t="s">
        <v>657</v>
      </c>
      <c r="E402" s="11" t="s">
        <v>658</v>
      </c>
      <c r="F402" s="11" t="s">
        <v>759</v>
      </c>
      <c r="G402" s="11">
        <v>2755</v>
      </c>
      <c r="H402" s="11">
        <f t="shared" si="12"/>
        <v>450</v>
      </c>
      <c r="I402" s="11">
        <f t="shared" si="13"/>
        <v>1239750</v>
      </c>
      <c r="J402" s="11" t="s">
        <v>775</v>
      </c>
    </row>
    <row r="403" spans="1:10" x14ac:dyDescent="0.35">
      <c r="A403" s="11" t="s">
        <v>758</v>
      </c>
      <c r="B403" s="11" t="s">
        <v>748</v>
      </c>
      <c r="C403" s="18" t="s">
        <v>12</v>
      </c>
      <c r="D403" s="18" t="s">
        <v>77</v>
      </c>
      <c r="E403" s="11" t="s">
        <v>78</v>
      </c>
      <c r="F403" s="11" t="s">
        <v>752</v>
      </c>
      <c r="G403" s="11">
        <v>9610</v>
      </c>
      <c r="H403" s="11">
        <f t="shared" si="12"/>
        <v>150</v>
      </c>
      <c r="I403" s="11">
        <f t="shared" si="13"/>
        <v>1441500</v>
      </c>
      <c r="J403" s="11" t="s">
        <v>775</v>
      </c>
    </row>
    <row r="404" spans="1:10" x14ac:dyDescent="0.35">
      <c r="A404" s="11" t="s">
        <v>758</v>
      </c>
      <c r="B404" s="11" t="s">
        <v>751</v>
      </c>
      <c r="C404" s="18" t="s">
        <v>9</v>
      </c>
      <c r="D404" s="18" t="s">
        <v>609</v>
      </c>
      <c r="E404" s="11" t="s">
        <v>610</v>
      </c>
      <c r="F404" s="11" t="s">
        <v>757</v>
      </c>
      <c r="G404" s="11">
        <v>7073</v>
      </c>
      <c r="H404" s="11">
        <f t="shared" si="12"/>
        <v>150</v>
      </c>
      <c r="I404" s="11">
        <f t="shared" si="13"/>
        <v>1060950</v>
      </c>
      <c r="J404" s="11" t="s">
        <v>776</v>
      </c>
    </row>
    <row r="405" spans="1:10" x14ac:dyDescent="0.35">
      <c r="A405" s="11" t="s">
        <v>758</v>
      </c>
      <c r="B405" s="11" t="s">
        <v>751</v>
      </c>
      <c r="C405" s="18" t="s">
        <v>12</v>
      </c>
      <c r="D405" s="18" t="s">
        <v>22</v>
      </c>
      <c r="E405" s="11" t="s">
        <v>437</v>
      </c>
      <c r="F405" s="11" t="s">
        <v>756</v>
      </c>
      <c r="G405" s="11">
        <v>6170</v>
      </c>
      <c r="H405" s="11">
        <f t="shared" si="12"/>
        <v>150</v>
      </c>
      <c r="I405" s="11">
        <f t="shared" si="13"/>
        <v>925500</v>
      </c>
      <c r="J405" s="11" t="s">
        <v>776</v>
      </c>
    </row>
    <row r="406" spans="1:10" x14ac:dyDescent="0.35">
      <c r="A406" s="11" t="s">
        <v>758</v>
      </c>
      <c r="B406" s="11" t="s">
        <v>748</v>
      </c>
      <c r="C406" s="18" t="s">
        <v>40</v>
      </c>
      <c r="D406" s="18" t="s">
        <v>97</v>
      </c>
      <c r="E406" s="11" t="s">
        <v>648</v>
      </c>
      <c r="F406" s="11" t="s">
        <v>752</v>
      </c>
      <c r="G406" s="11">
        <v>3949</v>
      </c>
      <c r="H406" s="11">
        <f t="shared" si="12"/>
        <v>150</v>
      </c>
      <c r="I406" s="11">
        <f t="shared" si="13"/>
        <v>592350</v>
      </c>
      <c r="J406" s="11" t="s">
        <v>775</v>
      </c>
    </row>
    <row r="407" spans="1:10" ht="46.5" x14ac:dyDescent="0.35">
      <c r="A407" s="11" t="s">
        <v>753</v>
      </c>
      <c r="B407" s="11" t="s">
        <v>742</v>
      </c>
      <c r="C407" s="18" t="s">
        <v>89</v>
      </c>
      <c r="D407" s="18" t="s">
        <v>346</v>
      </c>
      <c r="E407" s="11" t="s">
        <v>347</v>
      </c>
      <c r="F407" s="11" t="s">
        <v>767</v>
      </c>
      <c r="G407" s="11">
        <v>5450</v>
      </c>
      <c r="H407" s="11">
        <f t="shared" si="12"/>
        <v>450</v>
      </c>
      <c r="I407" s="11">
        <f t="shared" si="13"/>
        <v>2452500</v>
      </c>
      <c r="J407" s="11" t="s">
        <v>776</v>
      </c>
    </row>
    <row r="408" spans="1:10" x14ac:dyDescent="0.35">
      <c r="A408" s="11" t="s">
        <v>750</v>
      </c>
      <c r="B408" s="11" t="s">
        <v>745</v>
      </c>
      <c r="C408" s="18" t="s">
        <v>12</v>
      </c>
      <c r="D408" s="18" t="s">
        <v>38</v>
      </c>
      <c r="E408" s="11" t="s">
        <v>151</v>
      </c>
      <c r="F408" s="11" t="s">
        <v>761</v>
      </c>
      <c r="G408" s="11">
        <v>1385</v>
      </c>
      <c r="H408" s="11">
        <f t="shared" si="12"/>
        <v>1500</v>
      </c>
      <c r="I408" s="11">
        <f t="shared" si="13"/>
        <v>2077500</v>
      </c>
      <c r="J408" s="11" t="s">
        <v>775</v>
      </c>
    </row>
    <row r="409" spans="1:10" x14ac:dyDescent="0.35">
      <c r="A409" s="11" t="s">
        <v>762</v>
      </c>
      <c r="B409" s="11" t="s">
        <v>745</v>
      </c>
      <c r="C409" s="18" t="s">
        <v>27</v>
      </c>
      <c r="D409" s="18" t="s">
        <v>2</v>
      </c>
      <c r="E409" s="11" t="s">
        <v>56</v>
      </c>
      <c r="F409" s="11" t="s">
        <v>746</v>
      </c>
      <c r="G409" s="11">
        <v>1285</v>
      </c>
      <c r="H409" s="11">
        <f t="shared" si="12"/>
        <v>250</v>
      </c>
      <c r="I409" s="11">
        <f t="shared" si="13"/>
        <v>321250</v>
      </c>
      <c r="J409" s="11" t="s">
        <v>775</v>
      </c>
    </row>
    <row r="410" spans="1:10" x14ac:dyDescent="0.35">
      <c r="A410" s="11" t="s">
        <v>758</v>
      </c>
      <c r="B410" s="11" t="s">
        <v>745</v>
      </c>
      <c r="C410" s="18" t="s">
        <v>86</v>
      </c>
      <c r="D410" s="18" t="s">
        <v>87</v>
      </c>
      <c r="E410" s="11" t="s">
        <v>141</v>
      </c>
      <c r="F410" s="11" t="s">
        <v>746</v>
      </c>
      <c r="G410" s="11">
        <v>4630</v>
      </c>
      <c r="H410" s="11">
        <f t="shared" si="12"/>
        <v>150</v>
      </c>
      <c r="I410" s="11">
        <f t="shared" si="13"/>
        <v>694500</v>
      </c>
      <c r="J410" s="11" t="s">
        <v>775</v>
      </c>
    </row>
    <row r="411" spans="1:10" x14ac:dyDescent="0.35">
      <c r="A411" s="11" t="s">
        <v>762</v>
      </c>
      <c r="B411" s="11" t="s">
        <v>748</v>
      </c>
      <c r="C411" s="18" t="s">
        <v>27</v>
      </c>
      <c r="D411" s="18" t="s">
        <v>28</v>
      </c>
      <c r="E411" s="11" t="s">
        <v>201</v>
      </c>
      <c r="F411" s="11" t="s">
        <v>763</v>
      </c>
      <c r="G411" s="11">
        <v>6995</v>
      </c>
      <c r="H411" s="11">
        <f t="shared" si="12"/>
        <v>250</v>
      </c>
      <c r="I411" s="11">
        <f t="shared" si="13"/>
        <v>1748750</v>
      </c>
      <c r="J411" s="11" t="s">
        <v>775</v>
      </c>
    </row>
    <row r="412" spans="1:10" x14ac:dyDescent="0.35">
      <c r="A412" s="11" t="s">
        <v>766</v>
      </c>
      <c r="B412" s="11" t="s">
        <v>751</v>
      </c>
      <c r="C412" s="18" t="s">
        <v>12</v>
      </c>
      <c r="D412" s="18" t="s">
        <v>292</v>
      </c>
      <c r="E412" s="11" t="s">
        <v>418</v>
      </c>
      <c r="F412" s="11" t="s">
        <v>754</v>
      </c>
      <c r="G412" s="11">
        <v>8200</v>
      </c>
      <c r="H412" s="11">
        <f t="shared" si="12"/>
        <v>1440</v>
      </c>
      <c r="I412" s="11">
        <f t="shared" si="13"/>
        <v>11808000</v>
      </c>
      <c r="J412" s="11" t="s">
        <v>776</v>
      </c>
    </row>
    <row r="413" spans="1:10" x14ac:dyDescent="0.35">
      <c r="A413" s="11" t="s">
        <v>758</v>
      </c>
      <c r="B413" s="11" t="s">
        <v>748</v>
      </c>
      <c r="C413" s="18" t="s">
        <v>9</v>
      </c>
      <c r="D413" s="18" t="s">
        <v>10</v>
      </c>
      <c r="E413" s="11" t="s">
        <v>64</v>
      </c>
      <c r="F413" s="11" t="s">
        <v>768</v>
      </c>
      <c r="G413" s="11">
        <v>8627</v>
      </c>
      <c r="H413" s="11">
        <f t="shared" si="12"/>
        <v>150</v>
      </c>
      <c r="I413" s="11">
        <f t="shared" si="13"/>
        <v>1294050</v>
      </c>
      <c r="J413" s="11" t="s">
        <v>775</v>
      </c>
    </row>
    <row r="414" spans="1:10" x14ac:dyDescent="0.35">
      <c r="A414" s="11" t="s">
        <v>750</v>
      </c>
      <c r="B414" s="11" t="s">
        <v>751</v>
      </c>
      <c r="C414" s="18" t="s">
        <v>12</v>
      </c>
      <c r="D414" s="18" t="s">
        <v>22</v>
      </c>
      <c r="E414" s="11" t="s">
        <v>527</v>
      </c>
      <c r="F414" s="11" t="s">
        <v>757</v>
      </c>
      <c r="G414" s="11">
        <v>3655</v>
      </c>
      <c r="H414" s="11">
        <f t="shared" si="12"/>
        <v>1500</v>
      </c>
      <c r="I414" s="11">
        <f t="shared" si="13"/>
        <v>5482500</v>
      </c>
      <c r="J414" s="11" t="s">
        <v>775</v>
      </c>
    </row>
    <row r="415" spans="1:10" x14ac:dyDescent="0.35">
      <c r="A415" s="11" t="s">
        <v>760</v>
      </c>
      <c r="B415" s="11" t="s">
        <v>751</v>
      </c>
      <c r="C415" s="18" t="s">
        <v>12</v>
      </c>
      <c r="D415" s="18" t="s">
        <v>171</v>
      </c>
      <c r="E415" s="11" t="s">
        <v>172</v>
      </c>
      <c r="F415" s="11" t="s">
        <v>754</v>
      </c>
      <c r="G415" s="11">
        <v>5226</v>
      </c>
      <c r="H415" s="11">
        <f t="shared" si="12"/>
        <v>1600</v>
      </c>
      <c r="I415" s="11">
        <f t="shared" si="13"/>
        <v>8361600</v>
      </c>
      <c r="J415" s="11" t="s">
        <v>775</v>
      </c>
    </row>
    <row r="416" spans="1:10" x14ac:dyDescent="0.35">
      <c r="A416" s="11" t="s">
        <v>762</v>
      </c>
      <c r="B416" s="11" t="s">
        <v>748</v>
      </c>
      <c r="C416" s="18" t="s">
        <v>65</v>
      </c>
      <c r="D416" s="18" t="s">
        <v>94</v>
      </c>
      <c r="E416" s="11" t="s">
        <v>197</v>
      </c>
      <c r="F416" s="11" t="s">
        <v>768</v>
      </c>
      <c r="G416" s="11">
        <v>3352</v>
      </c>
      <c r="H416" s="11">
        <f t="shared" si="12"/>
        <v>250</v>
      </c>
      <c r="I416" s="11">
        <f t="shared" si="13"/>
        <v>838000</v>
      </c>
      <c r="J416" s="11" t="s">
        <v>776</v>
      </c>
    </row>
    <row r="417" spans="1:10" x14ac:dyDescent="0.35">
      <c r="A417" s="11" t="s">
        <v>760</v>
      </c>
      <c r="B417" s="11" t="s">
        <v>748</v>
      </c>
      <c r="C417" s="18" t="s">
        <v>12</v>
      </c>
      <c r="D417" s="18" t="s">
        <v>472</v>
      </c>
      <c r="E417" s="11" t="s">
        <v>473</v>
      </c>
      <c r="F417" s="11" t="s">
        <v>759</v>
      </c>
      <c r="G417" s="11">
        <v>573</v>
      </c>
      <c r="H417" s="11">
        <f t="shared" si="12"/>
        <v>1600</v>
      </c>
      <c r="I417" s="11">
        <f t="shared" si="13"/>
        <v>916800</v>
      </c>
      <c r="J417" s="11" t="s">
        <v>775</v>
      </c>
    </row>
    <row r="418" spans="1:10" x14ac:dyDescent="0.35">
      <c r="A418" s="11" t="s">
        <v>753</v>
      </c>
      <c r="B418" s="11" t="s">
        <v>748</v>
      </c>
      <c r="C418" s="18" t="s">
        <v>128</v>
      </c>
      <c r="D418" s="18" t="s">
        <v>129</v>
      </c>
      <c r="E418" s="11" t="s">
        <v>155</v>
      </c>
      <c r="F418" s="11" t="s">
        <v>768</v>
      </c>
      <c r="G418" s="11">
        <v>8194</v>
      </c>
      <c r="H418" s="11">
        <f t="shared" si="12"/>
        <v>450</v>
      </c>
      <c r="I418" s="11">
        <f t="shared" si="13"/>
        <v>3687300</v>
      </c>
      <c r="J418" s="11" t="s">
        <v>776</v>
      </c>
    </row>
    <row r="419" spans="1:10" x14ac:dyDescent="0.35">
      <c r="A419" s="11" t="s">
        <v>760</v>
      </c>
      <c r="B419" s="11" t="s">
        <v>748</v>
      </c>
      <c r="C419" s="18" t="s">
        <v>215</v>
      </c>
      <c r="D419" s="18" t="s">
        <v>215</v>
      </c>
      <c r="E419" s="11" t="s">
        <v>296</v>
      </c>
      <c r="F419" s="11" t="s">
        <v>761</v>
      </c>
      <c r="G419" s="11">
        <v>6385</v>
      </c>
      <c r="H419" s="11">
        <f t="shared" si="12"/>
        <v>1600</v>
      </c>
      <c r="I419" s="11">
        <f t="shared" si="13"/>
        <v>10216000</v>
      </c>
      <c r="J419" s="11" t="s">
        <v>776</v>
      </c>
    </row>
    <row r="420" spans="1:10" x14ac:dyDescent="0.35">
      <c r="A420" s="11" t="s">
        <v>760</v>
      </c>
      <c r="B420" s="11" t="s">
        <v>751</v>
      </c>
      <c r="C420" s="18" t="s">
        <v>12</v>
      </c>
      <c r="D420" s="18" t="s">
        <v>148</v>
      </c>
      <c r="E420" s="11" t="s">
        <v>728</v>
      </c>
      <c r="F420" s="11" t="s">
        <v>746</v>
      </c>
      <c r="G420" s="11">
        <v>2794</v>
      </c>
      <c r="H420" s="11">
        <f t="shared" si="12"/>
        <v>1600</v>
      </c>
      <c r="I420" s="11">
        <f t="shared" si="13"/>
        <v>4470400</v>
      </c>
      <c r="J420" s="11" t="s">
        <v>775</v>
      </c>
    </row>
    <row r="421" spans="1:10" x14ac:dyDescent="0.35">
      <c r="A421" s="11" t="s">
        <v>747</v>
      </c>
      <c r="B421" s="11" t="s">
        <v>748</v>
      </c>
      <c r="C421" s="18" t="s">
        <v>12</v>
      </c>
      <c r="D421" s="18" t="s">
        <v>15</v>
      </c>
      <c r="E421" s="11" t="s">
        <v>16</v>
      </c>
      <c r="F421" s="11" t="s">
        <v>749</v>
      </c>
      <c r="G421" s="11">
        <v>7384</v>
      </c>
      <c r="H421" s="11">
        <f t="shared" si="12"/>
        <v>700</v>
      </c>
      <c r="I421" s="11">
        <f t="shared" si="13"/>
        <v>5168800</v>
      </c>
      <c r="J421" s="11" t="s">
        <v>776</v>
      </c>
    </row>
    <row r="422" spans="1:10" x14ac:dyDescent="0.35">
      <c r="A422" s="11" t="s">
        <v>766</v>
      </c>
      <c r="B422" s="11" t="s">
        <v>751</v>
      </c>
      <c r="C422" s="18" t="s">
        <v>40</v>
      </c>
      <c r="D422" s="18" t="s">
        <v>329</v>
      </c>
      <c r="E422" s="11" t="s">
        <v>621</v>
      </c>
      <c r="F422" s="11" t="s">
        <v>757</v>
      </c>
      <c r="G422" s="11">
        <v>8821</v>
      </c>
      <c r="H422" s="11">
        <f t="shared" si="12"/>
        <v>1440</v>
      </c>
      <c r="I422" s="11">
        <f t="shared" si="13"/>
        <v>12702240</v>
      </c>
      <c r="J422" s="11" t="s">
        <v>775</v>
      </c>
    </row>
    <row r="423" spans="1:10" x14ac:dyDescent="0.35">
      <c r="A423" s="11" t="s">
        <v>755</v>
      </c>
      <c r="B423" s="11" t="s">
        <v>745</v>
      </c>
      <c r="C423" s="18" t="s">
        <v>12</v>
      </c>
      <c r="D423" s="18" t="s">
        <v>525</v>
      </c>
      <c r="E423" s="11" t="s">
        <v>526</v>
      </c>
      <c r="F423" s="11" t="s">
        <v>767</v>
      </c>
      <c r="G423" s="11">
        <v>740</v>
      </c>
      <c r="H423" s="11">
        <f t="shared" si="12"/>
        <v>1000</v>
      </c>
      <c r="I423" s="11">
        <f t="shared" si="13"/>
        <v>740000</v>
      </c>
      <c r="J423" s="11" t="s">
        <v>775</v>
      </c>
    </row>
    <row r="424" spans="1:10" x14ac:dyDescent="0.35">
      <c r="A424" s="11" t="s">
        <v>750</v>
      </c>
      <c r="B424" s="11" t="s">
        <v>751</v>
      </c>
      <c r="C424" s="18" t="s">
        <v>27</v>
      </c>
      <c r="D424" s="18" t="s">
        <v>0</v>
      </c>
      <c r="E424" s="11" t="s">
        <v>113</v>
      </c>
      <c r="F424" s="11" t="s">
        <v>757</v>
      </c>
      <c r="G424" s="11">
        <v>1643</v>
      </c>
      <c r="H424" s="11">
        <f t="shared" si="12"/>
        <v>1500</v>
      </c>
      <c r="I424" s="11">
        <f t="shared" si="13"/>
        <v>2464500</v>
      </c>
      <c r="J424" s="11" t="s">
        <v>776</v>
      </c>
    </row>
    <row r="425" spans="1:10" x14ac:dyDescent="0.35">
      <c r="A425" s="11" t="s">
        <v>747</v>
      </c>
      <c r="B425" s="11" t="s">
        <v>745</v>
      </c>
      <c r="C425" s="18" t="s">
        <v>12</v>
      </c>
      <c r="D425" s="18" t="s">
        <v>466</v>
      </c>
      <c r="E425" s="11" t="s">
        <v>467</v>
      </c>
      <c r="F425" s="11" t="s">
        <v>759</v>
      </c>
      <c r="G425" s="11">
        <v>4652</v>
      </c>
      <c r="H425" s="11">
        <f t="shared" si="12"/>
        <v>700</v>
      </c>
      <c r="I425" s="11">
        <f t="shared" si="13"/>
        <v>3256400</v>
      </c>
      <c r="J425" s="11" t="s">
        <v>776</v>
      </c>
    </row>
    <row r="426" spans="1:10" x14ac:dyDescent="0.35">
      <c r="A426" s="11" t="s">
        <v>753</v>
      </c>
      <c r="B426" s="11" t="s">
        <v>748</v>
      </c>
      <c r="C426" s="18" t="s">
        <v>40</v>
      </c>
      <c r="D426" s="18" t="s">
        <v>323</v>
      </c>
      <c r="E426" s="11" t="s">
        <v>324</v>
      </c>
      <c r="F426" s="11" t="s">
        <v>756</v>
      </c>
      <c r="G426" s="11">
        <v>1844</v>
      </c>
      <c r="H426" s="11">
        <f t="shared" si="12"/>
        <v>450</v>
      </c>
      <c r="I426" s="11">
        <f t="shared" si="13"/>
        <v>829800</v>
      </c>
      <c r="J426" s="11" t="s">
        <v>776</v>
      </c>
    </row>
    <row r="427" spans="1:10" x14ac:dyDescent="0.35">
      <c r="A427" s="11" t="s">
        <v>758</v>
      </c>
      <c r="B427" s="11" t="s">
        <v>742</v>
      </c>
      <c r="C427" s="18" t="s">
        <v>722</v>
      </c>
      <c r="D427" s="18" t="s">
        <v>723</v>
      </c>
      <c r="E427" s="11" t="s">
        <v>724</v>
      </c>
      <c r="F427" s="11" t="s">
        <v>754</v>
      </c>
      <c r="G427" s="11">
        <v>3459</v>
      </c>
      <c r="H427" s="11">
        <f t="shared" si="12"/>
        <v>150</v>
      </c>
      <c r="I427" s="11">
        <f t="shared" si="13"/>
        <v>518850</v>
      </c>
      <c r="J427" s="11" t="s">
        <v>775</v>
      </c>
    </row>
    <row r="428" spans="1:10" x14ac:dyDescent="0.35">
      <c r="A428" s="11" t="s">
        <v>758</v>
      </c>
      <c r="B428" s="11" t="s">
        <v>751</v>
      </c>
      <c r="C428" s="18" t="s">
        <v>486</v>
      </c>
      <c r="D428" s="18" t="s">
        <v>650</v>
      </c>
      <c r="E428" s="11" t="s">
        <v>651</v>
      </c>
      <c r="F428" s="11" t="s">
        <v>767</v>
      </c>
      <c r="G428" s="11">
        <v>2916</v>
      </c>
      <c r="H428" s="11">
        <f t="shared" si="12"/>
        <v>150</v>
      </c>
      <c r="I428" s="11">
        <f t="shared" si="13"/>
        <v>437400</v>
      </c>
      <c r="J428" s="11" t="s">
        <v>776</v>
      </c>
    </row>
    <row r="429" spans="1:10" x14ac:dyDescent="0.35">
      <c r="A429" s="11" t="s">
        <v>747</v>
      </c>
      <c r="B429" s="11" t="s">
        <v>745</v>
      </c>
      <c r="C429" s="18" t="s">
        <v>52</v>
      </c>
      <c r="D429" s="18" t="s">
        <v>339</v>
      </c>
      <c r="E429" s="11" t="s">
        <v>340</v>
      </c>
      <c r="F429" s="11" t="s">
        <v>767</v>
      </c>
      <c r="G429" s="11">
        <v>828</v>
      </c>
      <c r="H429" s="11">
        <f t="shared" si="12"/>
        <v>700</v>
      </c>
      <c r="I429" s="11">
        <f t="shared" si="13"/>
        <v>579600</v>
      </c>
      <c r="J429" s="11" t="s">
        <v>776</v>
      </c>
    </row>
    <row r="430" spans="1:10" x14ac:dyDescent="0.35">
      <c r="A430" s="11" t="s">
        <v>747</v>
      </c>
      <c r="B430" s="11" t="s">
        <v>748</v>
      </c>
      <c r="C430" s="18" t="s">
        <v>128</v>
      </c>
      <c r="D430" s="18" t="s">
        <v>129</v>
      </c>
      <c r="E430" s="11" t="s">
        <v>438</v>
      </c>
      <c r="F430" s="11" t="s">
        <v>759</v>
      </c>
      <c r="G430" s="11">
        <v>9854</v>
      </c>
      <c r="H430" s="11">
        <f t="shared" si="12"/>
        <v>700</v>
      </c>
      <c r="I430" s="11">
        <f t="shared" si="13"/>
        <v>6897800</v>
      </c>
      <c r="J430" s="11" t="s">
        <v>776</v>
      </c>
    </row>
    <row r="431" spans="1:10" x14ac:dyDescent="0.35">
      <c r="A431" s="11" t="s">
        <v>760</v>
      </c>
      <c r="B431" s="11" t="s">
        <v>745</v>
      </c>
      <c r="C431" s="18" t="s">
        <v>40</v>
      </c>
      <c r="D431" s="18" t="s">
        <v>75</v>
      </c>
      <c r="E431" s="11" t="s">
        <v>550</v>
      </c>
      <c r="F431" s="11" t="s">
        <v>752</v>
      </c>
      <c r="G431" s="11">
        <v>1488</v>
      </c>
      <c r="H431" s="11">
        <f t="shared" si="12"/>
        <v>1600</v>
      </c>
      <c r="I431" s="11">
        <f t="shared" si="13"/>
        <v>2380800</v>
      </c>
      <c r="J431" s="11" t="s">
        <v>775</v>
      </c>
    </row>
    <row r="432" spans="1:10" x14ac:dyDescent="0.35">
      <c r="A432" s="11" t="s">
        <v>758</v>
      </c>
      <c r="B432" s="11" t="s">
        <v>748</v>
      </c>
      <c r="C432" s="18" t="s">
        <v>188</v>
      </c>
      <c r="D432" s="18" t="s">
        <v>189</v>
      </c>
      <c r="E432" s="11" t="s">
        <v>350</v>
      </c>
      <c r="F432" s="11" t="s">
        <v>756</v>
      </c>
      <c r="G432" s="11">
        <v>2835</v>
      </c>
      <c r="H432" s="11">
        <f t="shared" si="12"/>
        <v>150</v>
      </c>
      <c r="I432" s="11">
        <f t="shared" si="13"/>
        <v>425250</v>
      </c>
      <c r="J432" s="11" t="s">
        <v>776</v>
      </c>
    </row>
    <row r="433" spans="1:10" x14ac:dyDescent="0.35">
      <c r="A433" s="11" t="s">
        <v>750</v>
      </c>
      <c r="B433" s="11" t="s">
        <v>751</v>
      </c>
      <c r="C433" s="18" t="s">
        <v>12</v>
      </c>
      <c r="D433" s="18" t="s">
        <v>425</v>
      </c>
      <c r="E433" s="11" t="s">
        <v>426</v>
      </c>
      <c r="F433" s="11" t="s">
        <v>756</v>
      </c>
      <c r="G433" s="11">
        <v>5710</v>
      </c>
      <c r="H433" s="11">
        <f t="shared" si="12"/>
        <v>1500</v>
      </c>
      <c r="I433" s="11">
        <f t="shared" si="13"/>
        <v>8565000</v>
      </c>
      <c r="J433" s="11" t="s">
        <v>775</v>
      </c>
    </row>
    <row r="434" spans="1:10" x14ac:dyDescent="0.35">
      <c r="A434" s="11" t="s">
        <v>755</v>
      </c>
      <c r="B434" s="11" t="s">
        <v>742</v>
      </c>
      <c r="C434" s="18" t="s">
        <v>12</v>
      </c>
      <c r="D434" s="18" t="s">
        <v>22</v>
      </c>
      <c r="E434" s="11" t="s">
        <v>152</v>
      </c>
      <c r="F434" s="11" t="s">
        <v>754</v>
      </c>
      <c r="G434" s="11">
        <v>1176</v>
      </c>
      <c r="H434" s="11">
        <f t="shared" si="12"/>
        <v>1000</v>
      </c>
      <c r="I434" s="11">
        <f t="shared" si="13"/>
        <v>1176000</v>
      </c>
      <c r="J434" s="11" t="s">
        <v>775</v>
      </c>
    </row>
    <row r="435" spans="1:10" x14ac:dyDescent="0.35">
      <c r="A435" s="11" t="s">
        <v>753</v>
      </c>
      <c r="B435" s="11" t="s">
        <v>748</v>
      </c>
      <c r="C435" s="18" t="s">
        <v>40</v>
      </c>
      <c r="D435" s="18" t="s">
        <v>329</v>
      </c>
      <c r="E435" s="11" t="s">
        <v>475</v>
      </c>
      <c r="F435" s="11" t="s">
        <v>746</v>
      </c>
      <c r="G435" s="11">
        <v>1377</v>
      </c>
      <c r="H435" s="11">
        <f t="shared" si="12"/>
        <v>450</v>
      </c>
      <c r="I435" s="11">
        <f t="shared" si="13"/>
        <v>619650</v>
      </c>
      <c r="J435" s="11" t="s">
        <v>775</v>
      </c>
    </row>
    <row r="436" spans="1:10" ht="46.5" x14ac:dyDescent="0.35">
      <c r="A436" s="11" t="s">
        <v>758</v>
      </c>
      <c r="B436" s="11" t="s">
        <v>748</v>
      </c>
      <c r="C436" s="18" t="s">
        <v>89</v>
      </c>
      <c r="D436" s="18" t="s">
        <v>90</v>
      </c>
      <c r="E436" s="11" t="s">
        <v>592</v>
      </c>
      <c r="F436" s="11" t="s">
        <v>761</v>
      </c>
      <c r="G436" s="11">
        <v>5661</v>
      </c>
      <c r="H436" s="11">
        <f t="shared" si="12"/>
        <v>150</v>
      </c>
      <c r="I436" s="11">
        <f t="shared" si="13"/>
        <v>849150</v>
      </c>
      <c r="J436" s="11" t="s">
        <v>775</v>
      </c>
    </row>
    <row r="437" spans="1:10" x14ac:dyDescent="0.35">
      <c r="A437" s="11" t="s">
        <v>760</v>
      </c>
      <c r="B437" s="11" t="s">
        <v>751</v>
      </c>
      <c r="C437" s="18" t="s">
        <v>12</v>
      </c>
      <c r="D437" s="18" t="s">
        <v>57</v>
      </c>
      <c r="E437" s="11" t="s">
        <v>58</v>
      </c>
      <c r="F437" s="11" t="s">
        <v>746</v>
      </c>
      <c r="G437" s="11">
        <v>3408</v>
      </c>
      <c r="H437" s="11">
        <f t="shared" si="12"/>
        <v>1600</v>
      </c>
      <c r="I437" s="11">
        <f t="shared" si="13"/>
        <v>5452800</v>
      </c>
      <c r="J437" s="11" t="s">
        <v>776</v>
      </c>
    </row>
    <row r="438" spans="1:10" x14ac:dyDescent="0.35">
      <c r="A438" s="11" t="s">
        <v>741</v>
      </c>
      <c r="B438" s="11" t="s">
        <v>748</v>
      </c>
      <c r="C438" s="18" t="s">
        <v>40</v>
      </c>
      <c r="D438" s="18" t="s">
        <v>97</v>
      </c>
      <c r="E438" s="11" t="s">
        <v>307</v>
      </c>
      <c r="F438" s="11" t="s">
        <v>756</v>
      </c>
      <c r="G438" s="11">
        <v>4080</v>
      </c>
      <c r="H438" s="11">
        <f t="shared" si="12"/>
        <v>550</v>
      </c>
      <c r="I438" s="11">
        <f t="shared" si="13"/>
        <v>2244000</v>
      </c>
      <c r="J438" s="11" t="s">
        <v>776</v>
      </c>
    </row>
    <row r="439" spans="1:10" x14ac:dyDescent="0.35">
      <c r="A439" s="11" t="s">
        <v>766</v>
      </c>
      <c r="B439" s="11" t="s">
        <v>751</v>
      </c>
      <c r="C439" s="18" t="s">
        <v>12</v>
      </c>
      <c r="D439" s="18" t="s">
        <v>79</v>
      </c>
      <c r="E439" s="11" t="s">
        <v>649</v>
      </c>
      <c r="F439" s="11" t="s">
        <v>746</v>
      </c>
      <c r="G439" s="11">
        <v>8957</v>
      </c>
      <c r="H439" s="11">
        <f t="shared" si="12"/>
        <v>1440</v>
      </c>
      <c r="I439" s="11">
        <f t="shared" si="13"/>
        <v>12898080</v>
      </c>
      <c r="J439" s="11" t="s">
        <v>776</v>
      </c>
    </row>
    <row r="440" spans="1:10" x14ac:dyDescent="0.35">
      <c r="A440" s="11" t="s">
        <v>741</v>
      </c>
      <c r="B440" s="11" t="s">
        <v>745</v>
      </c>
      <c r="C440" s="18" t="s">
        <v>65</v>
      </c>
      <c r="D440" s="18" t="s">
        <v>264</v>
      </c>
      <c r="E440" s="11" t="s">
        <v>265</v>
      </c>
      <c r="F440" s="11" t="s">
        <v>757</v>
      </c>
      <c r="G440" s="11">
        <v>5621</v>
      </c>
      <c r="H440" s="11">
        <f t="shared" si="12"/>
        <v>550</v>
      </c>
      <c r="I440" s="11">
        <f t="shared" si="13"/>
        <v>3091550</v>
      </c>
      <c r="J440" s="11" t="s">
        <v>776</v>
      </c>
    </row>
    <row r="441" spans="1:10" x14ac:dyDescent="0.35">
      <c r="A441" s="11" t="s">
        <v>741</v>
      </c>
      <c r="B441" s="11" t="s">
        <v>745</v>
      </c>
      <c r="C441" s="18" t="s">
        <v>9</v>
      </c>
      <c r="D441" s="18" t="s">
        <v>311</v>
      </c>
      <c r="E441" s="11" t="s">
        <v>312</v>
      </c>
      <c r="F441" s="11" t="s">
        <v>746</v>
      </c>
      <c r="G441" s="11">
        <v>3426</v>
      </c>
      <c r="H441" s="11">
        <f t="shared" si="12"/>
        <v>550</v>
      </c>
      <c r="I441" s="11">
        <f t="shared" si="13"/>
        <v>1884300</v>
      </c>
      <c r="J441" s="11" t="s">
        <v>775</v>
      </c>
    </row>
    <row r="442" spans="1:10" x14ac:dyDescent="0.35">
      <c r="A442" s="11" t="s">
        <v>744</v>
      </c>
      <c r="B442" s="11" t="s">
        <v>751</v>
      </c>
      <c r="C442" s="18" t="s">
        <v>12</v>
      </c>
      <c r="D442" s="18" t="s">
        <v>331</v>
      </c>
      <c r="E442" s="11" t="s">
        <v>332</v>
      </c>
      <c r="F442" s="11" t="s">
        <v>743</v>
      </c>
      <c r="G442" s="11">
        <v>7909</v>
      </c>
      <c r="H442" s="11">
        <f t="shared" si="12"/>
        <v>800</v>
      </c>
      <c r="I442" s="11">
        <f t="shared" si="13"/>
        <v>6327200</v>
      </c>
      <c r="J442" s="11" t="s">
        <v>776</v>
      </c>
    </row>
    <row r="443" spans="1:10" x14ac:dyDescent="0.35">
      <c r="A443" s="11" t="s">
        <v>760</v>
      </c>
      <c r="B443" s="11" t="s">
        <v>748</v>
      </c>
      <c r="C443" s="18" t="s">
        <v>12</v>
      </c>
      <c r="D443" s="18" t="s">
        <v>429</v>
      </c>
      <c r="E443" s="11" t="s">
        <v>430</v>
      </c>
      <c r="F443" s="11" t="s">
        <v>746</v>
      </c>
      <c r="G443" s="11">
        <v>1913</v>
      </c>
      <c r="H443" s="11">
        <f t="shared" si="12"/>
        <v>1600</v>
      </c>
      <c r="I443" s="11">
        <f t="shared" si="13"/>
        <v>3060800</v>
      </c>
      <c r="J443" s="11" t="s">
        <v>776</v>
      </c>
    </row>
    <row r="444" spans="1:10" x14ac:dyDescent="0.35">
      <c r="A444" s="11" t="s">
        <v>762</v>
      </c>
      <c r="B444" s="11" t="s">
        <v>751</v>
      </c>
      <c r="C444" s="18" t="s">
        <v>12</v>
      </c>
      <c r="D444" s="18" t="s">
        <v>400</v>
      </c>
      <c r="E444" s="11" t="s">
        <v>424</v>
      </c>
      <c r="F444" s="11" t="s">
        <v>749</v>
      </c>
      <c r="G444" s="11">
        <v>8612</v>
      </c>
      <c r="H444" s="11">
        <f t="shared" si="12"/>
        <v>250</v>
      </c>
      <c r="I444" s="11">
        <f t="shared" si="13"/>
        <v>2153000</v>
      </c>
      <c r="J444" s="11" t="s">
        <v>775</v>
      </c>
    </row>
    <row r="445" spans="1:10" x14ac:dyDescent="0.35">
      <c r="A445" s="11" t="s">
        <v>741</v>
      </c>
      <c r="B445" s="11" t="s">
        <v>748</v>
      </c>
      <c r="C445" s="18" t="s">
        <v>40</v>
      </c>
      <c r="D445" s="18" t="s">
        <v>164</v>
      </c>
      <c r="E445" s="11" t="s">
        <v>165</v>
      </c>
      <c r="F445" s="11" t="s">
        <v>752</v>
      </c>
      <c r="G445" s="11">
        <v>8162</v>
      </c>
      <c r="H445" s="11">
        <f t="shared" si="12"/>
        <v>550</v>
      </c>
      <c r="I445" s="11">
        <f t="shared" si="13"/>
        <v>4489100</v>
      </c>
      <c r="J445" s="11" t="s">
        <v>775</v>
      </c>
    </row>
    <row r="446" spans="1:10" x14ac:dyDescent="0.35">
      <c r="A446" s="11" t="s">
        <v>765</v>
      </c>
      <c r="B446" s="11" t="s">
        <v>745</v>
      </c>
      <c r="C446" s="18" t="s">
        <v>24</v>
      </c>
      <c r="D446" s="18" t="s">
        <v>25</v>
      </c>
      <c r="E446" s="11" t="s">
        <v>112</v>
      </c>
      <c r="F446" s="11" t="s">
        <v>759</v>
      </c>
      <c r="G446" s="11">
        <v>5194</v>
      </c>
      <c r="H446" s="11">
        <f t="shared" si="12"/>
        <v>2000</v>
      </c>
      <c r="I446" s="11">
        <f t="shared" si="13"/>
        <v>10388000</v>
      </c>
      <c r="J446" s="11" t="s">
        <v>775</v>
      </c>
    </row>
    <row r="447" spans="1:10" ht="46.5" x14ac:dyDescent="0.35">
      <c r="A447" s="11" t="s">
        <v>758</v>
      </c>
      <c r="B447" s="11" t="s">
        <v>745</v>
      </c>
      <c r="C447" s="18" t="s">
        <v>12</v>
      </c>
      <c r="D447" s="18" t="s">
        <v>530</v>
      </c>
      <c r="E447" s="11" t="s">
        <v>531</v>
      </c>
      <c r="F447" s="11" t="s">
        <v>761</v>
      </c>
      <c r="G447" s="11">
        <v>9654</v>
      </c>
      <c r="H447" s="11">
        <f t="shared" si="12"/>
        <v>150</v>
      </c>
      <c r="I447" s="11">
        <f t="shared" si="13"/>
        <v>1448100</v>
      </c>
      <c r="J447" s="11" t="s">
        <v>775</v>
      </c>
    </row>
    <row r="448" spans="1:10" x14ac:dyDescent="0.35">
      <c r="A448" s="11" t="s">
        <v>744</v>
      </c>
      <c r="B448" s="11" t="s">
        <v>742</v>
      </c>
      <c r="C448" s="18" t="s">
        <v>12</v>
      </c>
      <c r="D448" s="18" t="s">
        <v>400</v>
      </c>
      <c r="E448" s="11" t="s">
        <v>580</v>
      </c>
      <c r="F448" s="11" t="s">
        <v>767</v>
      </c>
      <c r="G448" s="11">
        <v>8729</v>
      </c>
      <c r="H448" s="11">
        <f t="shared" si="12"/>
        <v>800</v>
      </c>
      <c r="I448" s="11">
        <f t="shared" si="13"/>
        <v>6983200</v>
      </c>
      <c r="J448" s="11" t="s">
        <v>776</v>
      </c>
    </row>
    <row r="449" spans="1:10" x14ac:dyDescent="0.35">
      <c r="A449" s="11" t="s">
        <v>762</v>
      </c>
      <c r="B449" s="11" t="s">
        <v>751</v>
      </c>
      <c r="C449" s="18" t="s">
        <v>40</v>
      </c>
      <c r="D449" s="18" t="s">
        <v>84</v>
      </c>
      <c r="E449" s="11" t="s">
        <v>378</v>
      </c>
      <c r="F449" s="11" t="s">
        <v>754</v>
      </c>
      <c r="G449" s="11">
        <v>7255</v>
      </c>
      <c r="H449" s="11">
        <f t="shared" si="12"/>
        <v>250</v>
      </c>
      <c r="I449" s="11">
        <f t="shared" si="13"/>
        <v>1813750</v>
      </c>
      <c r="J449" s="11" t="s">
        <v>775</v>
      </c>
    </row>
    <row r="450" spans="1:10" x14ac:dyDescent="0.35">
      <c r="A450" s="11" t="s">
        <v>741</v>
      </c>
      <c r="B450" s="11" t="s">
        <v>748</v>
      </c>
      <c r="C450" s="18" t="s">
        <v>12</v>
      </c>
      <c r="D450" s="18" t="s">
        <v>228</v>
      </c>
      <c r="E450" s="11" t="s">
        <v>666</v>
      </c>
      <c r="F450" s="11" t="s">
        <v>763</v>
      </c>
      <c r="G450" s="11">
        <v>2892</v>
      </c>
      <c r="H450" s="11">
        <f t="shared" si="12"/>
        <v>550</v>
      </c>
      <c r="I450" s="11">
        <f t="shared" si="13"/>
        <v>1590600</v>
      </c>
      <c r="J450" s="11" t="s">
        <v>775</v>
      </c>
    </row>
    <row r="451" spans="1:10" x14ac:dyDescent="0.35">
      <c r="A451" s="11" t="s">
        <v>750</v>
      </c>
      <c r="B451" s="11" t="s">
        <v>751</v>
      </c>
      <c r="C451" s="18" t="s">
        <v>12</v>
      </c>
      <c r="D451" s="18" t="s">
        <v>356</v>
      </c>
      <c r="E451" s="11" t="s">
        <v>730</v>
      </c>
      <c r="F451" s="11" t="s">
        <v>767</v>
      </c>
      <c r="G451" s="11">
        <v>7607</v>
      </c>
      <c r="H451" s="11">
        <f t="shared" si="12"/>
        <v>1500</v>
      </c>
      <c r="I451" s="11">
        <f t="shared" si="13"/>
        <v>11410500</v>
      </c>
      <c r="J451" s="11" t="s">
        <v>776</v>
      </c>
    </row>
    <row r="452" spans="1:10" x14ac:dyDescent="0.35">
      <c r="A452" s="11" t="s">
        <v>766</v>
      </c>
      <c r="B452" s="11" t="s">
        <v>742</v>
      </c>
      <c r="C452" s="18" t="s">
        <v>128</v>
      </c>
      <c r="D452" s="18" t="s">
        <v>129</v>
      </c>
      <c r="E452" s="11" t="s">
        <v>147</v>
      </c>
      <c r="F452" s="11" t="s">
        <v>749</v>
      </c>
      <c r="G452" s="11">
        <v>9986</v>
      </c>
      <c r="H452" s="11">
        <f t="shared" si="12"/>
        <v>1440</v>
      </c>
      <c r="I452" s="11">
        <f t="shared" si="13"/>
        <v>14379840</v>
      </c>
      <c r="J452" s="11" t="s">
        <v>775</v>
      </c>
    </row>
    <row r="453" spans="1:10" x14ac:dyDescent="0.35">
      <c r="A453" s="11" t="s">
        <v>744</v>
      </c>
      <c r="B453" s="11" t="s">
        <v>742</v>
      </c>
      <c r="C453" s="18" t="s">
        <v>192</v>
      </c>
      <c r="D453" s="18" t="s">
        <v>193</v>
      </c>
      <c r="E453" s="11" t="s">
        <v>315</v>
      </c>
      <c r="F453" s="11" t="s">
        <v>743</v>
      </c>
      <c r="G453" s="11">
        <v>5903</v>
      </c>
      <c r="H453" s="11">
        <f t="shared" ref="H453:H478" si="14">IF(A453="Paracetamol",550,IF(A453="Fluconazole",800,IF(A453="Metformin",700,IF(A453="Diclofenac",1500,IF(A453="Dolo",450,IF(A453="Sumo",1000,IF(A453="Calpol",1600,IF(A453="Lbuprofen",250,IF(A453="Azithroycin",650,IF(A453="Amoxicillin",2000,IF(A453="Omeprazole",1440,IF(A453="Centirizin",150))))))))))))</f>
        <v>800</v>
      </c>
      <c r="I453" s="11">
        <f t="shared" ref="I453:I478" si="15">G453*H453</f>
        <v>4722400</v>
      </c>
      <c r="J453" s="11" t="s">
        <v>775</v>
      </c>
    </row>
    <row r="454" spans="1:10" ht="46.5" x14ac:dyDescent="0.35">
      <c r="A454" s="11" t="s">
        <v>764</v>
      </c>
      <c r="B454" s="11" t="s">
        <v>745</v>
      </c>
      <c r="C454" s="18" t="s">
        <v>12</v>
      </c>
      <c r="D454" s="18" t="s">
        <v>477</v>
      </c>
      <c r="E454" s="11" t="s">
        <v>478</v>
      </c>
      <c r="F454" s="11" t="s">
        <v>757</v>
      </c>
      <c r="G454" s="11">
        <v>4613</v>
      </c>
      <c r="H454" s="11">
        <f t="shared" si="14"/>
        <v>650</v>
      </c>
      <c r="I454" s="11">
        <f t="shared" si="15"/>
        <v>2998450</v>
      </c>
      <c r="J454" s="11" t="s">
        <v>776</v>
      </c>
    </row>
    <row r="455" spans="1:10" x14ac:dyDescent="0.35">
      <c r="A455" s="11" t="s">
        <v>755</v>
      </c>
      <c r="B455" s="11" t="s">
        <v>742</v>
      </c>
      <c r="C455" s="18" t="s">
        <v>65</v>
      </c>
      <c r="D455" s="18" t="s">
        <v>390</v>
      </c>
      <c r="E455" s="11" t="s">
        <v>391</v>
      </c>
      <c r="F455" s="11" t="s">
        <v>767</v>
      </c>
      <c r="G455" s="11">
        <v>8136</v>
      </c>
      <c r="H455" s="11">
        <f t="shared" si="14"/>
        <v>1000</v>
      </c>
      <c r="I455" s="11">
        <f t="shared" si="15"/>
        <v>8136000</v>
      </c>
      <c r="J455" s="11" t="s">
        <v>776</v>
      </c>
    </row>
    <row r="456" spans="1:10" x14ac:dyDescent="0.35">
      <c r="A456" s="11" t="s">
        <v>753</v>
      </c>
      <c r="B456" s="11" t="s">
        <v>745</v>
      </c>
      <c r="C456" s="18" t="s">
        <v>40</v>
      </c>
      <c r="D456" s="18" t="s">
        <v>75</v>
      </c>
      <c r="E456" s="11" t="s">
        <v>620</v>
      </c>
      <c r="F456" s="11" t="s">
        <v>763</v>
      </c>
      <c r="G456" s="11">
        <v>503</v>
      </c>
      <c r="H456" s="11">
        <f t="shared" si="14"/>
        <v>450</v>
      </c>
      <c r="I456" s="11">
        <f t="shared" si="15"/>
        <v>226350</v>
      </c>
      <c r="J456" s="11" t="s">
        <v>775</v>
      </c>
    </row>
    <row r="457" spans="1:10" x14ac:dyDescent="0.35">
      <c r="A457" s="11" t="s">
        <v>744</v>
      </c>
      <c r="B457" s="11" t="s">
        <v>748</v>
      </c>
      <c r="C457" s="18" t="s">
        <v>40</v>
      </c>
      <c r="D457" s="18" t="s">
        <v>84</v>
      </c>
      <c r="E457" s="11" t="s">
        <v>85</v>
      </c>
      <c r="F457" s="11" t="s">
        <v>761</v>
      </c>
      <c r="G457" s="11">
        <v>5678</v>
      </c>
      <c r="H457" s="11">
        <f t="shared" si="14"/>
        <v>800</v>
      </c>
      <c r="I457" s="11">
        <f t="shared" si="15"/>
        <v>4542400</v>
      </c>
      <c r="J457" s="11" t="s">
        <v>776</v>
      </c>
    </row>
    <row r="458" spans="1:10" x14ac:dyDescent="0.35">
      <c r="A458" s="11" t="s">
        <v>766</v>
      </c>
      <c r="B458" s="11" t="s">
        <v>742</v>
      </c>
      <c r="C458" s="18" t="s">
        <v>86</v>
      </c>
      <c r="D458" s="18" t="s">
        <v>87</v>
      </c>
      <c r="E458" s="11" t="s">
        <v>498</v>
      </c>
      <c r="F458" s="11" t="s">
        <v>754</v>
      </c>
      <c r="G458" s="11">
        <v>9282</v>
      </c>
      <c r="H458" s="11">
        <f t="shared" si="14"/>
        <v>1440</v>
      </c>
      <c r="I458" s="11">
        <f t="shared" si="15"/>
        <v>13366080</v>
      </c>
      <c r="J458" s="11" t="s">
        <v>775</v>
      </c>
    </row>
    <row r="459" spans="1:10" x14ac:dyDescent="0.35">
      <c r="A459" s="11" t="s">
        <v>766</v>
      </c>
      <c r="B459" s="11" t="s">
        <v>742</v>
      </c>
      <c r="C459" s="18" t="s">
        <v>134</v>
      </c>
      <c r="D459" s="18" t="s">
        <v>135</v>
      </c>
      <c r="E459" s="11" t="s">
        <v>136</v>
      </c>
      <c r="F459" s="11" t="s">
        <v>749</v>
      </c>
      <c r="G459" s="11">
        <v>784</v>
      </c>
      <c r="H459" s="11">
        <f t="shared" si="14"/>
        <v>1440</v>
      </c>
      <c r="I459" s="11">
        <f t="shared" si="15"/>
        <v>1128960</v>
      </c>
      <c r="J459" s="11" t="s">
        <v>776</v>
      </c>
    </row>
    <row r="460" spans="1:10" x14ac:dyDescent="0.35">
      <c r="A460" s="11" t="s">
        <v>755</v>
      </c>
      <c r="B460" s="11" t="s">
        <v>748</v>
      </c>
      <c r="C460" s="18" t="s">
        <v>40</v>
      </c>
      <c r="D460" s="18" t="s">
        <v>132</v>
      </c>
      <c r="E460" s="11" t="s">
        <v>198</v>
      </c>
      <c r="F460" s="11" t="s">
        <v>752</v>
      </c>
      <c r="G460" s="11">
        <v>4898</v>
      </c>
      <c r="H460" s="11">
        <f t="shared" si="14"/>
        <v>1000</v>
      </c>
      <c r="I460" s="11">
        <f t="shared" si="15"/>
        <v>4898000</v>
      </c>
      <c r="J460" s="11" t="s">
        <v>776</v>
      </c>
    </row>
    <row r="461" spans="1:10" x14ac:dyDescent="0.35">
      <c r="A461" s="11" t="s">
        <v>741</v>
      </c>
      <c r="B461" s="11" t="s">
        <v>742</v>
      </c>
      <c r="C461" s="18" t="s">
        <v>188</v>
      </c>
      <c r="D461" s="18" t="s">
        <v>189</v>
      </c>
      <c r="E461" s="11" t="s">
        <v>190</v>
      </c>
      <c r="F461" s="11" t="s">
        <v>752</v>
      </c>
      <c r="G461" s="11">
        <v>7984</v>
      </c>
      <c r="H461" s="11">
        <f t="shared" si="14"/>
        <v>550</v>
      </c>
      <c r="I461" s="11">
        <f t="shared" si="15"/>
        <v>4391200</v>
      </c>
      <c r="J461" s="11" t="s">
        <v>775</v>
      </c>
    </row>
    <row r="462" spans="1:10" x14ac:dyDescent="0.35">
      <c r="A462" s="11" t="s">
        <v>762</v>
      </c>
      <c r="B462" s="11" t="s">
        <v>742</v>
      </c>
      <c r="C462" s="18" t="s">
        <v>108</v>
      </c>
      <c r="D462" s="18" t="s">
        <v>234</v>
      </c>
      <c r="E462" s="11" t="s">
        <v>235</v>
      </c>
      <c r="F462" s="11" t="s">
        <v>761</v>
      </c>
      <c r="G462" s="11">
        <v>1883</v>
      </c>
      <c r="H462" s="11">
        <f t="shared" si="14"/>
        <v>250</v>
      </c>
      <c r="I462" s="11">
        <f t="shared" si="15"/>
        <v>470750</v>
      </c>
      <c r="J462" s="11" t="s">
        <v>776</v>
      </c>
    </row>
    <row r="463" spans="1:10" ht="46.5" x14ac:dyDescent="0.35">
      <c r="A463" s="11" t="s">
        <v>758</v>
      </c>
      <c r="B463" s="11" t="s">
        <v>751</v>
      </c>
      <c r="C463" s="18" t="s">
        <v>12</v>
      </c>
      <c r="D463" s="18" t="s">
        <v>290</v>
      </c>
      <c r="E463" s="11" t="s">
        <v>291</v>
      </c>
      <c r="F463" s="11" t="s">
        <v>759</v>
      </c>
      <c r="G463" s="11">
        <v>8332</v>
      </c>
      <c r="H463" s="11">
        <f t="shared" si="14"/>
        <v>150</v>
      </c>
      <c r="I463" s="11">
        <f t="shared" si="15"/>
        <v>1249800</v>
      </c>
      <c r="J463" s="11" t="s">
        <v>776</v>
      </c>
    </row>
    <row r="464" spans="1:10" x14ac:dyDescent="0.35">
      <c r="A464" s="11" t="s">
        <v>747</v>
      </c>
      <c r="B464" s="11" t="s">
        <v>742</v>
      </c>
      <c r="C464" s="18" t="s">
        <v>128</v>
      </c>
      <c r="D464" s="18" t="s">
        <v>129</v>
      </c>
      <c r="E464" s="11" t="s">
        <v>348</v>
      </c>
      <c r="F464" s="11" t="s">
        <v>761</v>
      </c>
      <c r="G464" s="11">
        <v>9620</v>
      </c>
      <c r="H464" s="11">
        <f t="shared" si="14"/>
        <v>700</v>
      </c>
      <c r="I464" s="11">
        <f t="shared" si="15"/>
        <v>6734000</v>
      </c>
      <c r="J464" s="11" t="s">
        <v>775</v>
      </c>
    </row>
    <row r="465" spans="1:10" x14ac:dyDescent="0.35">
      <c r="A465" s="11" t="s">
        <v>744</v>
      </c>
      <c r="B465" s="11" t="s">
        <v>748</v>
      </c>
      <c r="C465" s="18" t="s">
        <v>12</v>
      </c>
      <c r="D465" s="18" t="s">
        <v>157</v>
      </c>
      <c r="E465" s="11" t="s">
        <v>158</v>
      </c>
      <c r="F465" s="11" t="s">
        <v>754</v>
      </c>
      <c r="G465" s="11">
        <v>5273</v>
      </c>
      <c r="H465" s="11">
        <f t="shared" si="14"/>
        <v>800</v>
      </c>
      <c r="I465" s="11">
        <f t="shared" si="15"/>
        <v>4218400</v>
      </c>
      <c r="J465" s="11" t="s">
        <v>775</v>
      </c>
    </row>
    <row r="466" spans="1:10" ht="46.5" x14ac:dyDescent="0.35">
      <c r="A466" s="11" t="s">
        <v>764</v>
      </c>
      <c r="B466" s="11" t="s">
        <v>745</v>
      </c>
      <c r="C466" s="18" t="s">
        <v>12</v>
      </c>
      <c r="D466" s="18" t="s">
        <v>584</v>
      </c>
      <c r="E466" s="11" t="s">
        <v>585</v>
      </c>
      <c r="F466" s="11" t="s">
        <v>749</v>
      </c>
      <c r="G466" s="11">
        <v>7962</v>
      </c>
      <c r="H466" s="11">
        <f t="shared" si="14"/>
        <v>650</v>
      </c>
      <c r="I466" s="11">
        <f t="shared" si="15"/>
        <v>5175300</v>
      </c>
      <c r="J466" s="11" t="s">
        <v>776</v>
      </c>
    </row>
    <row r="467" spans="1:10" x14ac:dyDescent="0.35">
      <c r="A467" s="11" t="s">
        <v>753</v>
      </c>
      <c r="B467" s="11" t="s">
        <v>751</v>
      </c>
      <c r="C467" s="18" t="s">
        <v>65</v>
      </c>
      <c r="D467" s="18" t="s">
        <v>199</v>
      </c>
      <c r="E467" s="11" t="s">
        <v>200</v>
      </c>
      <c r="F467" s="11" t="s">
        <v>757</v>
      </c>
      <c r="G467" s="11">
        <v>1571</v>
      </c>
      <c r="H467" s="11">
        <f t="shared" si="14"/>
        <v>450</v>
      </c>
      <c r="I467" s="11">
        <f t="shared" si="15"/>
        <v>706950</v>
      </c>
      <c r="J467" s="11" t="s">
        <v>776</v>
      </c>
    </row>
    <row r="468" spans="1:10" x14ac:dyDescent="0.35">
      <c r="A468" s="11" t="s">
        <v>750</v>
      </c>
      <c r="B468" s="11" t="s">
        <v>745</v>
      </c>
      <c r="C468" s="18" t="s">
        <v>128</v>
      </c>
      <c r="D468" s="18" t="s">
        <v>129</v>
      </c>
      <c r="E468" s="11" t="s">
        <v>156</v>
      </c>
      <c r="F468" s="11" t="s">
        <v>743</v>
      </c>
      <c r="G468" s="11">
        <v>2810</v>
      </c>
      <c r="H468" s="11">
        <f t="shared" si="14"/>
        <v>1500</v>
      </c>
      <c r="I468" s="11">
        <f t="shared" si="15"/>
        <v>4215000</v>
      </c>
      <c r="J468" s="11" t="s">
        <v>776</v>
      </c>
    </row>
    <row r="469" spans="1:10" x14ac:dyDescent="0.35">
      <c r="A469" s="11" t="s">
        <v>765</v>
      </c>
      <c r="B469" s="11" t="s">
        <v>748</v>
      </c>
      <c r="C469" s="18" t="s">
        <v>12</v>
      </c>
      <c r="D469" s="18" t="s">
        <v>15</v>
      </c>
      <c r="E469" s="11" t="s">
        <v>589</v>
      </c>
      <c r="F469" s="11" t="s">
        <v>768</v>
      </c>
      <c r="G469" s="11">
        <v>9376</v>
      </c>
      <c r="H469" s="11">
        <f t="shared" si="14"/>
        <v>2000</v>
      </c>
      <c r="I469" s="11">
        <f t="shared" si="15"/>
        <v>18752000</v>
      </c>
      <c r="J469" s="11" t="s">
        <v>776</v>
      </c>
    </row>
    <row r="470" spans="1:10" x14ac:dyDescent="0.35">
      <c r="A470" s="11" t="s">
        <v>755</v>
      </c>
      <c r="B470" s="11" t="s">
        <v>742</v>
      </c>
      <c r="C470" s="18" t="s">
        <v>40</v>
      </c>
      <c r="D470" s="18" t="s">
        <v>406</v>
      </c>
      <c r="E470" s="11" t="s">
        <v>407</v>
      </c>
      <c r="F470" s="11" t="s">
        <v>749</v>
      </c>
      <c r="G470" s="11">
        <v>1131</v>
      </c>
      <c r="H470" s="11">
        <f t="shared" si="14"/>
        <v>1000</v>
      </c>
      <c r="I470" s="11">
        <f t="shared" si="15"/>
        <v>1131000</v>
      </c>
      <c r="J470" s="11" t="s">
        <v>775</v>
      </c>
    </row>
    <row r="471" spans="1:10" x14ac:dyDescent="0.35">
      <c r="A471" s="11" t="s">
        <v>744</v>
      </c>
      <c r="B471" s="11" t="s">
        <v>751</v>
      </c>
      <c r="C471" s="18" t="s">
        <v>40</v>
      </c>
      <c r="D471" s="18" t="s">
        <v>431</v>
      </c>
      <c r="E471" s="11" t="s">
        <v>432</v>
      </c>
      <c r="F471" s="11" t="s">
        <v>761</v>
      </c>
      <c r="G471" s="11">
        <v>1587</v>
      </c>
      <c r="H471" s="11">
        <f t="shared" si="14"/>
        <v>800</v>
      </c>
      <c r="I471" s="11">
        <f t="shared" si="15"/>
        <v>1269600</v>
      </c>
      <c r="J471" s="11" t="s">
        <v>775</v>
      </c>
    </row>
    <row r="472" spans="1:10" x14ac:dyDescent="0.35">
      <c r="A472" s="11" t="s">
        <v>750</v>
      </c>
      <c r="B472" s="11" t="s">
        <v>751</v>
      </c>
      <c r="C472" s="18" t="s">
        <v>280</v>
      </c>
      <c r="D472" s="18" t="s">
        <v>281</v>
      </c>
      <c r="E472" s="11" t="s">
        <v>282</v>
      </c>
      <c r="F472" s="11" t="s">
        <v>767</v>
      </c>
      <c r="G472" s="11">
        <v>838</v>
      </c>
      <c r="H472" s="11">
        <f t="shared" si="14"/>
        <v>1500</v>
      </c>
      <c r="I472" s="11">
        <f t="shared" si="15"/>
        <v>1257000</v>
      </c>
      <c r="J472" s="11" t="s">
        <v>776</v>
      </c>
    </row>
    <row r="473" spans="1:10" x14ac:dyDescent="0.35">
      <c r="A473" s="11" t="s">
        <v>758</v>
      </c>
      <c r="B473" s="11" t="s">
        <v>742</v>
      </c>
      <c r="C473" s="18" t="s">
        <v>12</v>
      </c>
      <c r="D473" s="18" t="s">
        <v>545</v>
      </c>
      <c r="E473" s="11" t="s">
        <v>546</v>
      </c>
      <c r="F473" s="11" t="s">
        <v>768</v>
      </c>
      <c r="G473" s="11">
        <v>1742</v>
      </c>
      <c r="H473" s="11">
        <f t="shared" si="14"/>
        <v>150</v>
      </c>
      <c r="I473" s="11">
        <f t="shared" si="15"/>
        <v>261300</v>
      </c>
      <c r="J473" s="11" t="s">
        <v>775</v>
      </c>
    </row>
    <row r="474" spans="1:10" x14ac:dyDescent="0.35">
      <c r="A474" s="11" t="s">
        <v>766</v>
      </c>
      <c r="B474" s="11" t="s">
        <v>751</v>
      </c>
      <c r="C474" s="18" t="s">
        <v>192</v>
      </c>
      <c r="D474" s="18" t="s">
        <v>193</v>
      </c>
      <c r="E474" s="11" t="s">
        <v>659</v>
      </c>
      <c r="F474" s="11" t="s">
        <v>749</v>
      </c>
      <c r="G474" s="11">
        <v>2776</v>
      </c>
      <c r="H474" s="11">
        <f t="shared" si="14"/>
        <v>1440</v>
      </c>
      <c r="I474" s="11">
        <f t="shared" si="15"/>
        <v>3997440</v>
      </c>
      <c r="J474" s="11" t="s">
        <v>775</v>
      </c>
    </row>
    <row r="475" spans="1:10" x14ac:dyDescent="0.35">
      <c r="A475" s="11" t="s">
        <v>741</v>
      </c>
      <c r="B475" s="11" t="s">
        <v>751</v>
      </c>
      <c r="C475" s="18" t="s">
        <v>40</v>
      </c>
      <c r="D475" s="18" t="s">
        <v>97</v>
      </c>
      <c r="E475" s="11" t="s">
        <v>667</v>
      </c>
      <c r="F475" s="11" t="s">
        <v>743</v>
      </c>
      <c r="G475" s="11">
        <v>5008</v>
      </c>
      <c r="H475" s="11">
        <f t="shared" si="14"/>
        <v>550</v>
      </c>
      <c r="I475" s="11">
        <f t="shared" si="15"/>
        <v>2754400</v>
      </c>
      <c r="J475" s="11" t="s">
        <v>775</v>
      </c>
    </row>
    <row r="476" spans="1:10" x14ac:dyDescent="0.35">
      <c r="A476" s="11" t="s">
        <v>758</v>
      </c>
      <c r="B476" s="11" t="s">
        <v>751</v>
      </c>
      <c r="C476" s="18" t="s">
        <v>108</v>
      </c>
      <c r="D476" s="18" t="s">
        <v>109</v>
      </c>
      <c r="E476" s="11" t="s">
        <v>159</v>
      </c>
      <c r="F476" s="11" t="s">
        <v>756</v>
      </c>
      <c r="G476" s="11">
        <v>5207</v>
      </c>
      <c r="H476" s="11">
        <f t="shared" si="14"/>
        <v>150</v>
      </c>
      <c r="I476" s="11">
        <f t="shared" si="15"/>
        <v>781050</v>
      </c>
      <c r="J476" s="11" t="s">
        <v>776</v>
      </c>
    </row>
    <row r="477" spans="1:10" x14ac:dyDescent="0.35">
      <c r="A477" s="11" t="s">
        <v>762</v>
      </c>
      <c r="B477" s="11" t="s">
        <v>745</v>
      </c>
      <c r="C477" s="18" t="s">
        <v>12</v>
      </c>
      <c r="D477" s="18" t="s">
        <v>503</v>
      </c>
      <c r="E477" s="11" t="s">
        <v>504</v>
      </c>
      <c r="F477" s="11" t="s">
        <v>754</v>
      </c>
      <c r="G477" s="11">
        <v>7847</v>
      </c>
      <c r="H477" s="11">
        <f t="shared" si="14"/>
        <v>250</v>
      </c>
      <c r="I477" s="11">
        <f t="shared" si="15"/>
        <v>1961750</v>
      </c>
      <c r="J477" s="11" t="s">
        <v>775</v>
      </c>
    </row>
    <row r="478" spans="1:10" ht="46.5" x14ac:dyDescent="0.35">
      <c r="A478" s="11" t="s">
        <v>765</v>
      </c>
      <c r="B478" s="11" t="s">
        <v>745</v>
      </c>
      <c r="C478" s="18" t="s">
        <v>89</v>
      </c>
      <c r="D478" s="18" t="s">
        <v>90</v>
      </c>
      <c r="E478" s="11" t="s">
        <v>459</v>
      </c>
      <c r="F478" s="11" t="s">
        <v>743</v>
      </c>
      <c r="G478" s="11">
        <v>8648</v>
      </c>
      <c r="H478" s="11">
        <f t="shared" si="14"/>
        <v>2000</v>
      </c>
      <c r="I478" s="11">
        <f t="shared" si="15"/>
        <v>17296000</v>
      </c>
      <c r="J478" s="11" t="s">
        <v>775</v>
      </c>
    </row>
    <row r="479" spans="1:10" ht="24" thickBot="1" x14ac:dyDescent="0.4">
      <c r="C479" s="4"/>
      <c r="D479" s="4"/>
    </row>
    <row r="480" spans="1:10" x14ac:dyDescent="0.35">
      <c r="B480" s="3"/>
      <c r="E480" s="2"/>
      <c r="F480" s="2"/>
      <c r="G480" s="3"/>
    </row>
    <row r="481" spans="1:7" x14ac:dyDescent="0.35">
      <c r="A481" s="15" t="s">
        <v>740</v>
      </c>
      <c r="B481" s="16"/>
      <c r="C481" s="17" t="s">
        <v>780</v>
      </c>
      <c r="E481" s="2"/>
      <c r="F481" s="2"/>
      <c r="G481" s="3"/>
    </row>
    <row r="482" spans="1:7" ht="24" thickBot="1" x14ac:dyDescent="0.4">
      <c r="A482" s="14" t="s">
        <v>787</v>
      </c>
      <c r="B482" s="12"/>
      <c r="C482" s="13">
        <f>SUMIF(A5:A478,A482,I5:I478)</f>
        <v>392787200</v>
      </c>
      <c r="E482" s="2"/>
      <c r="F482" s="2"/>
      <c r="G482" s="3"/>
    </row>
    <row r="483" spans="1:7" x14ac:dyDescent="0.35">
      <c r="E483" s="2"/>
      <c r="F483" s="2"/>
      <c r="G483" s="3"/>
    </row>
    <row r="484" spans="1:7" x14ac:dyDescent="0.35">
      <c r="A484" s="15" t="s">
        <v>740</v>
      </c>
      <c r="B484" s="16"/>
      <c r="C484" s="17" t="s">
        <v>786</v>
      </c>
      <c r="E484" s="2"/>
      <c r="F484" s="2"/>
      <c r="G484" s="3"/>
    </row>
    <row r="485" spans="1:7" ht="24" thickBot="1" x14ac:dyDescent="0.4">
      <c r="A485" s="14" t="s">
        <v>787</v>
      </c>
      <c r="B485" s="12"/>
      <c r="C485" s="13">
        <f>COUNTIF(A5:A478,A485)</f>
        <v>48</v>
      </c>
      <c r="E485" s="2"/>
      <c r="F485" s="2"/>
      <c r="G485" s="3"/>
    </row>
    <row r="486" spans="1:7" x14ac:dyDescent="0.35">
      <c r="E486" s="2"/>
      <c r="F486" s="2"/>
      <c r="G486" s="3"/>
    </row>
    <row r="487" spans="1:7" ht="24" thickBot="1" x14ac:dyDescent="0.4">
      <c r="A487" s="19" t="s">
        <v>740</v>
      </c>
      <c r="B487" s="21"/>
      <c r="C487" s="22" t="s">
        <v>779</v>
      </c>
      <c r="E487" s="2"/>
      <c r="F487" s="2"/>
      <c r="G487" s="3"/>
    </row>
    <row r="488" spans="1:7" ht="24" thickBot="1" x14ac:dyDescent="0.4">
      <c r="A488" s="10"/>
      <c r="B488" s="23"/>
      <c r="C488" s="20">
        <f>SUM(I5:I478)</f>
        <v>2300604400</v>
      </c>
      <c r="E488" s="2"/>
      <c r="F488" s="2"/>
      <c r="G488" s="3"/>
    </row>
    <row r="489" spans="1:7" x14ac:dyDescent="0.35">
      <c r="E489" s="2"/>
      <c r="F489" s="2"/>
      <c r="G489" s="3"/>
    </row>
    <row r="490" spans="1:7" x14ac:dyDescent="0.35">
      <c r="E490" s="2"/>
      <c r="F490" s="2"/>
      <c r="G490" s="3"/>
    </row>
    <row r="491" spans="1:7" x14ac:dyDescent="0.35">
      <c r="E491" s="2"/>
      <c r="F491" s="2"/>
      <c r="G491" s="3"/>
    </row>
    <row r="492" spans="1:7" x14ac:dyDescent="0.35">
      <c r="E492" s="2"/>
      <c r="F492" s="2"/>
      <c r="G492" s="3"/>
    </row>
    <row r="493" spans="1:7" x14ac:dyDescent="0.35">
      <c r="E493" s="2"/>
      <c r="F493" s="2"/>
      <c r="G493" s="3"/>
    </row>
    <row r="494" spans="1:7" x14ac:dyDescent="0.35">
      <c r="E494" s="2"/>
      <c r="F494" s="2"/>
      <c r="G494" s="3"/>
    </row>
    <row r="495" spans="1:7" x14ac:dyDescent="0.35">
      <c r="E495" s="2"/>
      <c r="F495" s="2"/>
      <c r="G495" s="3"/>
    </row>
    <row r="496" spans="1:7" x14ac:dyDescent="0.35">
      <c r="E496" s="2"/>
      <c r="F496" s="2"/>
      <c r="G496" s="3"/>
    </row>
    <row r="497" spans="5:7" x14ac:dyDescent="0.35">
      <c r="E497" s="2"/>
      <c r="F497" s="2"/>
      <c r="G497" s="3"/>
    </row>
    <row r="498" spans="5:7" x14ac:dyDescent="0.35">
      <c r="E498" s="2"/>
      <c r="F498" s="2"/>
      <c r="G498" s="3"/>
    </row>
    <row r="499" spans="5:7" x14ac:dyDescent="0.35">
      <c r="E499" s="2"/>
      <c r="F499" s="2"/>
      <c r="G499" s="3"/>
    </row>
    <row r="500" spans="5:7" x14ac:dyDescent="0.35">
      <c r="E500" s="2"/>
      <c r="F500" s="2"/>
      <c r="G500" s="3"/>
    </row>
    <row r="501" spans="5:7" x14ac:dyDescent="0.35">
      <c r="E501" s="2"/>
      <c r="F501" s="2"/>
      <c r="G501" s="3"/>
    </row>
    <row r="502" spans="5:7" x14ac:dyDescent="0.35">
      <c r="E502" s="2"/>
      <c r="F502" s="2"/>
      <c r="G502" s="3"/>
    </row>
    <row r="503" spans="5:7" x14ac:dyDescent="0.35">
      <c r="E503" s="2"/>
      <c r="F503" s="2"/>
      <c r="G503" s="3"/>
    </row>
    <row r="504" spans="5:7" x14ac:dyDescent="0.35">
      <c r="E504" s="2"/>
      <c r="F504" s="2"/>
      <c r="G504" s="3"/>
    </row>
    <row r="505" spans="5:7" x14ac:dyDescent="0.35">
      <c r="E505" s="2"/>
      <c r="F505" s="2"/>
      <c r="G505" s="3"/>
    </row>
    <row r="506" spans="5:7" x14ac:dyDescent="0.35">
      <c r="E506" s="2"/>
      <c r="F506" s="2"/>
      <c r="G506" s="3"/>
    </row>
    <row r="507" spans="5:7" x14ac:dyDescent="0.35">
      <c r="E507" s="2"/>
      <c r="F507" s="2"/>
      <c r="G507" s="3"/>
    </row>
    <row r="508" spans="5:7" x14ac:dyDescent="0.35">
      <c r="E508" s="2"/>
      <c r="F508" s="2"/>
      <c r="G508" s="3"/>
    </row>
    <row r="509" spans="5:7" x14ac:dyDescent="0.35">
      <c r="E509" s="2"/>
      <c r="F509" s="2"/>
      <c r="G509" s="3"/>
    </row>
    <row r="510" spans="5:7" x14ac:dyDescent="0.35">
      <c r="E510" s="2"/>
      <c r="F510" s="2"/>
      <c r="G510" s="3"/>
    </row>
    <row r="511" spans="5:7" x14ac:dyDescent="0.35">
      <c r="E511" s="2"/>
      <c r="F511" s="2"/>
      <c r="G511" s="3"/>
    </row>
    <row r="512" spans="5:7" x14ac:dyDescent="0.35">
      <c r="E512" s="2"/>
      <c r="F512" s="2"/>
      <c r="G512" s="3"/>
    </row>
    <row r="513" spans="5:7" x14ac:dyDescent="0.35">
      <c r="E513" s="2"/>
      <c r="F513" s="2"/>
      <c r="G513" s="3"/>
    </row>
    <row r="514" spans="5:7" x14ac:dyDescent="0.35">
      <c r="E514" s="2"/>
      <c r="F514" s="2"/>
      <c r="G514" s="3"/>
    </row>
    <row r="515" spans="5:7" x14ac:dyDescent="0.35">
      <c r="E515" s="2"/>
      <c r="F515" s="2"/>
      <c r="G515" s="3"/>
    </row>
    <row r="516" spans="5:7" x14ac:dyDescent="0.35">
      <c r="E516" s="2"/>
      <c r="F516" s="2"/>
      <c r="G516" s="3"/>
    </row>
    <row r="517" spans="5:7" x14ac:dyDescent="0.35">
      <c r="E517" s="2"/>
      <c r="F517" s="2"/>
      <c r="G517" s="3"/>
    </row>
    <row r="518" spans="5:7" x14ac:dyDescent="0.35">
      <c r="E518" s="2"/>
      <c r="F518" s="2"/>
      <c r="G518" s="3"/>
    </row>
    <row r="519" spans="5:7" x14ac:dyDescent="0.35">
      <c r="E519" s="2"/>
      <c r="F519" s="2"/>
      <c r="G519" s="3"/>
    </row>
    <row r="520" spans="5:7" x14ac:dyDescent="0.35">
      <c r="E520" s="2"/>
      <c r="F520" s="2"/>
      <c r="G520" s="3"/>
    </row>
    <row r="521" spans="5:7" x14ac:dyDescent="0.35">
      <c r="E521" s="2"/>
      <c r="F521" s="2"/>
      <c r="G521" s="3"/>
    </row>
    <row r="522" spans="5:7" x14ac:dyDescent="0.35">
      <c r="E522" s="2"/>
      <c r="F522" s="2"/>
      <c r="G522" s="3"/>
    </row>
    <row r="523" spans="5:7" x14ac:dyDescent="0.35">
      <c r="E523" s="2"/>
      <c r="F523" s="2"/>
      <c r="G523" s="3"/>
    </row>
    <row r="524" spans="5:7" x14ac:dyDescent="0.35">
      <c r="E524" s="2"/>
      <c r="F524" s="2"/>
      <c r="G524" s="3"/>
    </row>
    <row r="525" spans="5:7" x14ac:dyDescent="0.35">
      <c r="E525" s="2"/>
      <c r="F525" s="2"/>
      <c r="G525" s="3"/>
    </row>
    <row r="526" spans="5:7" x14ac:dyDescent="0.35">
      <c r="E526" s="2"/>
      <c r="F526" s="2"/>
      <c r="G526" s="3"/>
    </row>
    <row r="527" spans="5:7" x14ac:dyDescent="0.35">
      <c r="E527" s="2"/>
      <c r="F527" s="2"/>
      <c r="G527" s="3"/>
    </row>
    <row r="528" spans="5:7" x14ac:dyDescent="0.35">
      <c r="E528" s="2"/>
      <c r="F528" s="2"/>
      <c r="G528" s="3"/>
    </row>
    <row r="529" spans="5:7" x14ac:dyDescent="0.35">
      <c r="E529" s="2"/>
      <c r="F529" s="2"/>
      <c r="G529" s="3"/>
    </row>
    <row r="530" spans="5:7" x14ac:dyDescent="0.35">
      <c r="E530" s="2"/>
      <c r="F530" s="2"/>
      <c r="G530" s="3"/>
    </row>
    <row r="531" spans="5:7" x14ac:dyDescent="0.35">
      <c r="E531" s="2"/>
      <c r="F531" s="2"/>
      <c r="G531" s="3"/>
    </row>
    <row r="532" spans="5:7" x14ac:dyDescent="0.35">
      <c r="E532" s="2"/>
      <c r="F532" s="2"/>
      <c r="G532" s="3"/>
    </row>
    <row r="533" spans="5:7" x14ac:dyDescent="0.35">
      <c r="E533" s="2"/>
      <c r="F533" s="2"/>
      <c r="G533" s="3"/>
    </row>
    <row r="534" spans="5:7" x14ac:dyDescent="0.35">
      <c r="E534" s="2"/>
      <c r="F534" s="2"/>
      <c r="G534" s="3"/>
    </row>
    <row r="535" spans="5:7" x14ac:dyDescent="0.35">
      <c r="E535" s="2"/>
      <c r="F535" s="2"/>
      <c r="G535" s="3"/>
    </row>
    <row r="536" spans="5:7" x14ac:dyDescent="0.35">
      <c r="E536" s="2"/>
      <c r="F536" s="2"/>
      <c r="G536" s="3"/>
    </row>
    <row r="537" spans="5:7" x14ac:dyDescent="0.35">
      <c r="E537" s="2"/>
      <c r="F537" s="2"/>
      <c r="G537" s="3"/>
    </row>
    <row r="538" spans="5:7" x14ac:dyDescent="0.35">
      <c r="E538" s="2"/>
      <c r="F538" s="2"/>
      <c r="G538" s="3"/>
    </row>
    <row r="539" spans="5:7" x14ac:dyDescent="0.35">
      <c r="E539" s="2"/>
      <c r="F539" s="2"/>
      <c r="G539" s="3"/>
    </row>
    <row r="540" spans="5:7" x14ac:dyDescent="0.35">
      <c r="E540" s="2"/>
      <c r="F540" s="2"/>
      <c r="G540" s="3"/>
    </row>
    <row r="541" spans="5:7" x14ac:dyDescent="0.35">
      <c r="E541" s="2"/>
      <c r="F541" s="2"/>
      <c r="G541" s="3"/>
    </row>
    <row r="542" spans="5:7" x14ac:dyDescent="0.35">
      <c r="E542" s="2"/>
      <c r="F542" s="2"/>
      <c r="G542" s="3"/>
    </row>
    <row r="543" spans="5:7" x14ac:dyDescent="0.35">
      <c r="E543" s="2"/>
      <c r="F543" s="2"/>
      <c r="G543" s="3"/>
    </row>
    <row r="544" spans="5:7" x14ac:dyDescent="0.35">
      <c r="E544" s="2"/>
      <c r="F544" s="2"/>
      <c r="G544" s="3"/>
    </row>
    <row r="545" spans="5:7" x14ac:dyDescent="0.35">
      <c r="E545" s="2"/>
      <c r="F545" s="2"/>
      <c r="G545" s="3"/>
    </row>
    <row r="546" spans="5:7" x14ac:dyDescent="0.35">
      <c r="E546" s="2"/>
      <c r="F546" s="2"/>
      <c r="G546" s="3"/>
    </row>
    <row r="547" spans="5:7" x14ac:dyDescent="0.35">
      <c r="E547" s="3"/>
      <c r="F547" s="3"/>
      <c r="G547" s="3"/>
    </row>
    <row r="548" spans="5:7" x14ac:dyDescent="0.35">
      <c r="E548" s="3"/>
      <c r="F548" s="3"/>
      <c r="G548" s="3"/>
    </row>
    <row r="549" spans="5:7" x14ac:dyDescent="0.35">
      <c r="E549" s="3"/>
      <c r="F549" s="3"/>
      <c r="G549" s="3"/>
    </row>
    <row r="550" spans="5:7" x14ac:dyDescent="0.35">
      <c r="E550" s="3"/>
      <c r="F550" s="3"/>
      <c r="G550" s="3"/>
    </row>
    <row r="551" spans="5:7" x14ac:dyDescent="0.35">
      <c r="E551" s="3"/>
      <c r="F551" s="3"/>
      <c r="G551" s="3"/>
    </row>
    <row r="552" spans="5:7" x14ac:dyDescent="0.35">
      <c r="E552" s="3"/>
      <c r="F552" s="3"/>
      <c r="G552" s="3"/>
    </row>
    <row r="553" spans="5:7" x14ac:dyDescent="0.35">
      <c r="E553" s="3"/>
      <c r="F553" s="3"/>
      <c r="G553" s="3"/>
    </row>
    <row r="554" spans="5:7" x14ac:dyDescent="0.35">
      <c r="E554" s="3"/>
      <c r="F554" s="3"/>
      <c r="G554" s="3"/>
    </row>
    <row r="555" spans="5:7" x14ac:dyDescent="0.35">
      <c r="E555" s="3"/>
      <c r="F555" s="3"/>
      <c r="G555" s="3"/>
    </row>
    <row r="556" spans="5:7" x14ac:dyDescent="0.35">
      <c r="E556" s="3"/>
      <c r="F556" s="3"/>
      <c r="G556" s="3"/>
    </row>
    <row r="557" spans="5:7" x14ac:dyDescent="0.35">
      <c r="E557" s="3"/>
      <c r="F557" s="3"/>
      <c r="G557" s="3"/>
    </row>
    <row r="558" spans="5:7" x14ac:dyDescent="0.35">
      <c r="E558" s="3"/>
      <c r="F558" s="3"/>
      <c r="G558" s="3"/>
    </row>
    <row r="559" spans="5:7" x14ac:dyDescent="0.35">
      <c r="E559" s="3"/>
      <c r="F559" s="3"/>
      <c r="G559" s="3"/>
    </row>
    <row r="560" spans="5:7" x14ac:dyDescent="0.35">
      <c r="E560" s="3"/>
      <c r="F560" s="3"/>
      <c r="G560" s="3"/>
    </row>
    <row r="561" spans="5:7" x14ac:dyDescent="0.35">
      <c r="E561" s="3"/>
      <c r="F561" s="3"/>
      <c r="G561" s="3"/>
    </row>
    <row r="562" spans="5:7" x14ac:dyDescent="0.35">
      <c r="E562" s="3"/>
      <c r="F562" s="3"/>
      <c r="G562" s="3"/>
    </row>
    <row r="563" spans="5:7" x14ac:dyDescent="0.35">
      <c r="E563" s="3"/>
      <c r="F563" s="3"/>
      <c r="G563" s="3"/>
    </row>
    <row r="564" spans="5:7" x14ac:dyDescent="0.35">
      <c r="E564" s="3"/>
      <c r="F564" s="3"/>
      <c r="G564" s="3"/>
    </row>
    <row r="565" spans="5:7" x14ac:dyDescent="0.35">
      <c r="E565" s="3"/>
      <c r="F565" s="3"/>
      <c r="G565" s="3"/>
    </row>
    <row r="566" spans="5:7" x14ac:dyDescent="0.35">
      <c r="E566" s="3"/>
      <c r="F566" s="3"/>
      <c r="G566" s="3"/>
    </row>
  </sheetData>
  <mergeCells count="1">
    <mergeCell ref="A1:J3"/>
  </mergeCells>
  <pageMargins left="0.7" right="0.7" top="0.75" bottom="0.75" header="0.3" footer="0.3"/>
  <pageSetup paperSize="9" orientation="portrait" horizont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
  <sheetViews>
    <sheetView topLeftCell="B13" zoomScaleNormal="100" workbookViewId="0">
      <selection activeCell="E33" sqref="E33"/>
    </sheetView>
  </sheetViews>
  <sheetFormatPr defaultRowHeight="15" x14ac:dyDescent="0.25"/>
  <cols>
    <col min="1" max="1" width="13.140625" customWidth="1"/>
    <col min="2" max="2" width="19.85546875" customWidth="1"/>
    <col min="3" max="5" width="4.28515625" customWidth="1"/>
    <col min="6" max="6" width="19.85546875" customWidth="1"/>
    <col min="7" max="7" width="14.85546875" customWidth="1"/>
    <col min="8" max="9" width="13.140625" customWidth="1"/>
    <col min="10" max="11" width="14.85546875" customWidth="1"/>
    <col min="12" max="12" width="19.28515625" customWidth="1"/>
    <col min="13" max="83" width="7.5703125" customWidth="1"/>
    <col min="84" max="411" width="8.5703125" customWidth="1"/>
    <col min="412" max="465" width="9.7109375" customWidth="1"/>
    <col min="466" max="478" width="9.7109375" bestFit="1" customWidth="1"/>
    <col min="479" max="479" width="11.5703125" bestFit="1" customWidth="1"/>
  </cols>
  <sheetData>
    <row r="1" spans="1:10" ht="15" customHeight="1" x14ac:dyDescent="0.25">
      <c r="A1" s="26" t="s">
        <v>781</v>
      </c>
      <c r="B1" s="27"/>
    </row>
    <row r="2" spans="1:10" x14ac:dyDescent="0.25">
      <c r="A2" s="27"/>
      <c r="B2" s="27"/>
    </row>
    <row r="3" spans="1:10" ht="15" customHeight="1" x14ac:dyDescent="0.25">
      <c r="A3" s="5" t="s">
        <v>737</v>
      </c>
      <c r="B3" t="s">
        <v>61</v>
      </c>
      <c r="F3" s="26" t="s">
        <v>782</v>
      </c>
      <c r="G3" s="27"/>
    </row>
    <row r="4" spans="1:10" x14ac:dyDescent="0.25">
      <c r="F4" s="27"/>
      <c r="G4" s="27"/>
    </row>
    <row r="5" spans="1:10" ht="15" customHeight="1" x14ac:dyDescent="0.25">
      <c r="A5" s="5" t="s">
        <v>770</v>
      </c>
      <c r="B5" t="s">
        <v>772</v>
      </c>
      <c r="F5" s="5" t="s">
        <v>770</v>
      </c>
      <c r="G5" t="s">
        <v>772</v>
      </c>
    </row>
    <row r="6" spans="1:10" x14ac:dyDescent="0.25">
      <c r="A6" s="6" t="s">
        <v>765</v>
      </c>
      <c r="B6" s="7">
        <v>16310000</v>
      </c>
      <c r="F6" s="6" t="s">
        <v>742</v>
      </c>
      <c r="G6" s="7">
        <v>26628200</v>
      </c>
      <c r="H6" t="str">
        <f ca="1">OFFSET(F5,1,0,COUNTA(F6:F9),1)</f>
        <v>East</v>
      </c>
      <c r="I6">
        <f ca="1">OFFSET(G5,1,0,COUNTA(G6:G9),1)</f>
        <v>26628200</v>
      </c>
    </row>
    <row r="7" spans="1:10" ht="15" customHeight="1" x14ac:dyDescent="0.25">
      <c r="A7" s="6" t="s">
        <v>764</v>
      </c>
      <c r="B7" s="7">
        <v>3823950</v>
      </c>
      <c r="F7" s="6" t="s">
        <v>748</v>
      </c>
      <c r="G7" s="7">
        <v>53296100</v>
      </c>
      <c r="H7" t="str">
        <f t="shared" ref="H7:I9" ca="1" si="0">OFFSET(F6,1,0,COUNTA(F7:F10),1)</f>
        <v>North</v>
      </c>
      <c r="I7">
        <f t="shared" ca="1" si="0"/>
        <v>53296100</v>
      </c>
    </row>
    <row r="8" spans="1:10" x14ac:dyDescent="0.25">
      <c r="A8" s="6" t="s">
        <v>760</v>
      </c>
      <c r="B8" s="7">
        <v>30571200</v>
      </c>
      <c r="F8" s="6" t="s">
        <v>751</v>
      </c>
      <c r="G8" s="7">
        <v>3570800</v>
      </c>
      <c r="H8" t="str">
        <f t="shared" ca="1" si="0"/>
        <v>South</v>
      </c>
      <c r="I8">
        <f t="shared" ca="1" si="0"/>
        <v>3570800</v>
      </c>
    </row>
    <row r="9" spans="1:10" ht="15" customHeight="1" x14ac:dyDescent="0.25">
      <c r="A9" s="6" t="s">
        <v>758</v>
      </c>
      <c r="B9" s="7">
        <v>712500</v>
      </c>
      <c r="F9" s="6" t="s">
        <v>745</v>
      </c>
      <c r="G9" s="7">
        <v>36827000</v>
      </c>
      <c r="H9" t="str">
        <f t="shared" ca="1" si="0"/>
        <v>West</v>
      </c>
      <c r="I9">
        <f t="shared" ca="1" si="0"/>
        <v>36827000</v>
      </c>
    </row>
    <row r="10" spans="1:10" x14ac:dyDescent="0.25">
      <c r="A10" s="6" t="s">
        <v>750</v>
      </c>
      <c r="B10" s="7">
        <v>27102000</v>
      </c>
    </row>
    <row r="11" spans="1:10" x14ac:dyDescent="0.25">
      <c r="A11" s="6" t="s">
        <v>753</v>
      </c>
      <c r="B11" s="7">
        <v>848700</v>
      </c>
    </row>
    <row r="12" spans="1:10" x14ac:dyDescent="0.25">
      <c r="A12" s="6" t="s">
        <v>744</v>
      </c>
      <c r="B12" s="7">
        <v>4965600</v>
      </c>
      <c r="F12" s="26" t="s">
        <v>783</v>
      </c>
      <c r="G12" s="27"/>
    </row>
    <row r="13" spans="1:10" ht="15" customHeight="1" x14ac:dyDescent="0.25">
      <c r="A13" s="6" t="s">
        <v>762</v>
      </c>
      <c r="B13" s="7">
        <v>2171000</v>
      </c>
      <c r="F13" s="27"/>
      <c r="G13" s="27"/>
      <c r="I13" s="26" t="s">
        <v>784</v>
      </c>
      <c r="J13" s="27"/>
    </row>
    <row r="14" spans="1:10" x14ac:dyDescent="0.25">
      <c r="A14" s="6" t="s">
        <v>747</v>
      </c>
      <c r="B14" s="7">
        <v>5070100</v>
      </c>
      <c r="F14" s="5" t="s">
        <v>770</v>
      </c>
      <c r="G14" t="s">
        <v>772</v>
      </c>
      <c r="I14" s="27"/>
      <c r="J14" s="27"/>
    </row>
    <row r="15" spans="1:10" ht="15" customHeight="1" x14ac:dyDescent="0.25">
      <c r="A15" s="6" t="s">
        <v>741</v>
      </c>
      <c r="B15" s="7">
        <v>10940050</v>
      </c>
      <c r="F15" s="6" t="s">
        <v>106</v>
      </c>
      <c r="G15" s="7">
        <v>13543500</v>
      </c>
      <c r="I15" s="5" t="s">
        <v>770</v>
      </c>
      <c r="J15" t="s">
        <v>772</v>
      </c>
    </row>
    <row r="16" spans="1:10" x14ac:dyDescent="0.25">
      <c r="A16" s="6" t="s">
        <v>755</v>
      </c>
      <c r="B16" s="7">
        <v>17807000</v>
      </c>
      <c r="F16" s="6" t="s">
        <v>122</v>
      </c>
      <c r="G16" s="7">
        <v>7076800</v>
      </c>
      <c r="I16" s="6" t="s">
        <v>776</v>
      </c>
      <c r="J16" s="7">
        <v>50848000</v>
      </c>
    </row>
    <row r="17" spans="1:12" x14ac:dyDescent="0.25">
      <c r="A17" s="6" t="s">
        <v>773</v>
      </c>
      <c r="B17" s="7">
        <v>120322100</v>
      </c>
      <c r="F17" s="6" t="s">
        <v>321</v>
      </c>
      <c r="G17" s="7">
        <v>848700</v>
      </c>
      <c r="I17" s="6" t="s">
        <v>775</v>
      </c>
      <c r="J17" s="7">
        <v>69474100</v>
      </c>
      <c r="K17" s="26" t="s">
        <v>779</v>
      </c>
      <c r="L17" s="27"/>
    </row>
    <row r="18" spans="1:12" x14ac:dyDescent="0.25">
      <c r="F18" s="6" t="s">
        <v>361</v>
      </c>
      <c r="G18" s="7">
        <v>39380200</v>
      </c>
      <c r="I18" s="26" t="s">
        <v>785</v>
      </c>
      <c r="J18" s="27"/>
      <c r="K18" s="27"/>
      <c r="L18" s="27"/>
    </row>
    <row r="19" spans="1:12" ht="15" customHeight="1" x14ac:dyDescent="0.25">
      <c r="F19" s="6" t="s">
        <v>388</v>
      </c>
      <c r="G19" s="7">
        <v>7582900</v>
      </c>
      <c r="I19" s="27"/>
      <c r="J19" s="27"/>
    </row>
    <row r="20" spans="1:12" x14ac:dyDescent="0.25">
      <c r="F20" s="6" t="s">
        <v>297</v>
      </c>
      <c r="G20" s="7">
        <v>8509000</v>
      </c>
      <c r="I20" s="5" t="s">
        <v>770</v>
      </c>
      <c r="J20" t="s">
        <v>772</v>
      </c>
      <c r="L20" t="s">
        <v>772</v>
      </c>
    </row>
    <row r="21" spans="1:12" ht="15" customHeight="1" x14ac:dyDescent="0.25">
      <c r="F21" s="6" t="s">
        <v>99</v>
      </c>
      <c r="G21" s="7">
        <v>3294500</v>
      </c>
      <c r="I21" s="6" t="s">
        <v>746</v>
      </c>
      <c r="J21" s="7">
        <v>5089600</v>
      </c>
      <c r="L21" s="7">
        <v>2300604400</v>
      </c>
    </row>
    <row r="22" spans="1:12" x14ac:dyDescent="0.25">
      <c r="F22" s="6" t="s">
        <v>186</v>
      </c>
      <c r="G22" s="7">
        <v>2705950</v>
      </c>
      <c r="I22" s="6" t="s">
        <v>767</v>
      </c>
      <c r="J22" s="7">
        <v>6762900</v>
      </c>
    </row>
    <row r="23" spans="1:12" ht="15" customHeight="1" x14ac:dyDescent="0.25">
      <c r="F23" s="6" t="s">
        <v>586</v>
      </c>
      <c r="G23" s="7">
        <v>5046400</v>
      </c>
      <c r="I23" s="6" t="s">
        <v>754</v>
      </c>
      <c r="J23" s="7">
        <v>9108800</v>
      </c>
      <c r="K23" t="s">
        <v>777</v>
      </c>
      <c r="L23" s="25">
        <f>GETPIVOTDATA("Amount",$L$20)</f>
        <v>2300604400</v>
      </c>
    </row>
    <row r="24" spans="1:12" x14ac:dyDescent="0.25">
      <c r="A24" s="5" t="s">
        <v>770</v>
      </c>
      <c r="B24" t="s">
        <v>771</v>
      </c>
      <c r="F24" s="6" t="s">
        <v>62</v>
      </c>
      <c r="G24" s="7">
        <v>2171000</v>
      </c>
      <c r="I24" s="6" t="s">
        <v>756</v>
      </c>
      <c r="J24" s="7">
        <v>29986150</v>
      </c>
    </row>
    <row r="25" spans="1:12" ht="15" customHeight="1" x14ac:dyDescent="0.25">
      <c r="A25" s="6" t="s">
        <v>765</v>
      </c>
      <c r="B25" s="7">
        <v>8155</v>
      </c>
      <c r="F25" s="6" t="s">
        <v>715</v>
      </c>
      <c r="G25" s="7">
        <v>5089600</v>
      </c>
      <c r="I25" s="6" t="s">
        <v>761</v>
      </c>
      <c r="J25" s="7">
        <v>1118000</v>
      </c>
    </row>
    <row r="26" spans="1:12" x14ac:dyDescent="0.25">
      <c r="A26" s="6" t="s">
        <v>764</v>
      </c>
      <c r="B26" s="7">
        <v>5883</v>
      </c>
      <c r="F26" s="6" t="s">
        <v>251</v>
      </c>
      <c r="G26" s="7">
        <v>17428000</v>
      </c>
      <c r="I26" s="6" t="s">
        <v>759</v>
      </c>
      <c r="J26" s="7">
        <v>17770950</v>
      </c>
    </row>
    <row r="27" spans="1:12" x14ac:dyDescent="0.25">
      <c r="A27" s="6" t="s">
        <v>760</v>
      </c>
      <c r="B27" s="7">
        <v>19107</v>
      </c>
      <c r="F27" s="6" t="s">
        <v>692</v>
      </c>
      <c r="G27" s="7">
        <v>4212450</v>
      </c>
      <c r="I27" s="6" t="s">
        <v>752</v>
      </c>
      <c r="J27" s="7">
        <v>13543500</v>
      </c>
    </row>
    <row r="28" spans="1:12" x14ac:dyDescent="0.25">
      <c r="A28" s="6" t="s">
        <v>758</v>
      </c>
      <c r="B28" s="7">
        <v>4750</v>
      </c>
      <c r="F28" s="6" t="s">
        <v>735</v>
      </c>
      <c r="G28" s="7">
        <v>3433100</v>
      </c>
      <c r="I28" s="6" t="s">
        <v>749</v>
      </c>
      <c r="J28" s="7">
        <v>2452800</v>
      </c>
    </row>
    <row r="29" spans="1:12" x14ac:dyDescent="0.25">
      <c r="A29" s="6" t="s">
        <v>750</v>
      </c>
      <c r="B29" s="7">
        <v>18068</v>
      </c>
      <c r="F29" s="6" t="s">
        <v>773</v>
      </c>
      <c r="G29" s="7">
        <v>120322100</v>
      </c>
      <c r="I29" s="6" t="s">
        <v>768</v>
      </c>
      <c r="J29" s="7">
        <v>9670400</v>
      </c>
    </row>
    <row r="30" spans="1:12" x14ac:dyDescent="0.25">
      <c r="A30" s="6" t="s">
        <v>753</v>
      </c>
      <c r="B30" s="7">
        <v>1886</v>
      </c>
      <c r="I30" s="6" t="s">
        <v>757</v>
      </c>
      <c r="J30" s="7">
        <v>24819000</v>
      </c>
    </row>
    <row r="31" spans="1:12" x14ac:dyDescent="0.25">
      <c r="A31" s="6" t="s">
        <v>744</v>
      </c>
      <c r="B31" s="7">
        <v>6207</v>
      </c>
    </row>
    <row r="32" spans="1:12" x14ac:dyDescent="0.25">
      <c r="A32" s="6" t="s">
        <v>762</v>
      </c>
      <c r="B32" s="7">
        <v>8684</v>
      </c>
    </row>
    <row r="33" spans="1:2" x14ac:dyDescent="0.25">
      <c r="A33" s="6" t="s">
        <v>747</v>
      </c>
      <c r="B33" s="7">
        <v>7243</v>
      </c>
    </row>
    <row r="34" spans="1:2" x14ac:dyDescent="0.25">
      <c r="A34" s="6" t="s">
        <v>741</v>
      </c>
      <c r="B34" s="7">
        <v>19891</v>
      </c>
    </row>
    <row r="35" spans="1:2" x14ac:dyDescent="0.25">
      <c r="A35" s="6" t="s">
        <v>755</v>
      </c>
      <c r="B35" s="7">
        <v>17807</v>
      </c>
    </row>
    <row r="36" spans="1:2" x14ac:dyDescent="0.25">
      <c r="A36" s="6" t="s">
        <v>773</v>
      </c>
      <c r="B36" s="7">
        <v>117681</v>
      </c>
    </row>
    <row r="37" spans="1:2" ht="15" customHeight="1" x14ac:dyDescent="0.25"/>
    <row r="41" spans="1:2" x14ac:dyDescent="0.25">
      <c r="A41" s="26" t="s">
        <v>786</v>
      </c>
      <c r="B41" s="27"/>
    </row>
    <row r="42" spans="1:2" x14ac:dyDescent="0.25">
      <c r="A42" s="27"/>
      <c r="B42" s="27"/>
    </row>
    <row r="43" spans="1:2" x14ac:dyDescent="0.25">
      <c r="A43" s="5" t="s">
        <v>770</v>
      </c>
      <c r="B43" t="s">
        <v>778</v>
      </c>
    </row>
    <row r="44" spans="1:2" x14ac:dyDescent="0.25">
      <c r="A44" s="6" t="s">
        <v>741</v>
      </c>
      <c r="B44" s="7">
        <v>47</v>
      </c>
    </row>
    <row r="53" spans="9:10" ht="15" customHeight="1" x14ac:dyDescent="0.25">
      <c r="I53" s="9"/>
      <c r="J53" s="9"/>
    </row>
  </sheetData>
  <mergeCells count="7">
    <mergeCell ref="K17:L18"/>
    <mergeCell ref="A1:B2"/>
    <mergeCell ref="A41:B42"/>
    <mergeCell ref="F3:G4"/>
    <mergeCell ref="F12:G13"/>
    <mergeCell ref="I13:J14"/>
    <mergeCell ref="I18:J19"/>
  </mergeCells>
  <dataValidations count="1">
    <dataValidation type="list" allowBlank="1" showInputMessage="1" showErrorMessage="1" sqref="I54">
      <formula1>$I$38:$I$49</formula1>
    </dataValidation>
  </dataValidations>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S15" sqref="S15"/>
    </sheetView>
  </sheetViews>
  <sheetFormatPr defaultRowHeight="15" x14ac:dyDescent="0.25"/>
  <cols>
    <col min="1" max="1" width="6.140625" style="8" bestFit="1" customWidth="1"/>
    <col min="2" max="2" width="16.140625" style="8" bestFit="1" customWidth="1"/>
    <col min="3" max="3" width="15.140625" style="8" customWidth="1"/>
    <col min="4" max="6" width="9.140625" style="8"/>
    <col min="7" max="7" width="15.5703125" style="8" bestFit="1" customWidth="1"/>
    <col min="8" max="8" width="7.7109375" style="8" bestFit="1" customWidth="1"/>
    <col min="9" max="9" width="7.85546875" style="8" bestFit="1" customWidth="1"/>
    <col min="10" max="11" width="9.140625" style="8"/>
    <col min="12" max="12" width="8.7109375" style="8" bestFit="1" customWidth="1"/>
    <col min="13" max="13" width="8.140625" style="8" bestFit="1" customWidth="1"/>
    <col min="14" max="14" width="9.140625" style="8"/>
    <col min="15" max="15" width="8.42578125" style="8" bestFit="1" customWidth="1"/>
    <col min="16" max="16" width="8.5703125" style="8" bestFit="1" customWidth="1"/>
    <col min="17" max="17" width="18.5703125" style="8" bestFit="1" customWidth="1"/>
    <col min="18" max="18" width="12.5703125" style="8" customWidth="1"/>
    <col min="19" max="19" width="15.5703125" style="8" bestFit="1" customWidth="1"/>
    <col min="20" max="20" width="13.140625" style="8" bestFit="1" customWidth="1"/>
    <col min="21" max="21" width="11" style="8" bestFit="1" customWidth="1"/>
    <col min="22" max="24" width="10.42578125" style="8" bestFit="1" customWidth="1"/>
    <col min="25"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Dell</cp:lastModifiedBy>
  <dcterms:created xsi:type="dcterms:W3CDTF">2025-12-23T12:15:25Z</dcterms:created>
  <dcterms:modified xsi:type="dcterms:W3CDTF">2026-05-03T17:40:23Z</dcterms:modified>
</cp:coreProperties>
</file>